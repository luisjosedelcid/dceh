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Overview" sheetId="1" state="visible" r:id="rId1"/>
    <sheet xmlns:r="http://schemas.openxmlformats.org/officeDocument/2006/relationships" name="2. IS" sheetId="2" state="visible" r:id="rId2"/>
    <sheet xmlns:r="http://schemas.openxmlformats.org/officeDocument/2006/relationships" name="3. BS" sheetId="3" state="visible" r:id="rId3"/>
    <sheet xmlns:r="http://schemas.openxmlformats.org/officeDocument/2006/relationships" name="4. CF" sheetId="4" state="visible" r:id="rId4"/>
    <sheet xmlns:r="http://schemas.openxmlformats.org/officeDocument/2006/relationships" name="5. Health" sheetId="5" state="visible" r:id="rId5"/>
    <sheet xmlns:r="http://schemas.openxmlformats.org/officeDocument/2006/relationships" name="6. S&amp;M Cap" sheetId="6" state="visible" r:id="rId6"/>
    <sheet xmlns:r="http://schemas.openxmlformats.org/officeDocument/2006/relationships" name="7. R&amp;D Cap" sheetId="7" state="visible" r:id="rId7"/>
    <sheet xmlns:r="http://schemas.openxmlformats.org/officeDocument/2006/relationships" name="8. RV" sheetId="8" state="visible" r:id="rId8"/>
    <sheet xmlns:r="http://schemas.openxmlformats.org/officeDocument/2006/relationships" name="9. NOPAT" sheetId="9" state="visible" r:id="rId9"/>
    <sheet xmlns:r="http://schemas.openxmlformats.org/officeDocument/2006/relationships" name="10. EPV" sheetId="10" state="visible" r:id="rId10"/>
    <sheet xmlns:r="http://schemas.openxmlformats.org/officeDocument/2006/relationships" name="11. ROIC" sheetId="11" state="visible" r:id="rId11"/>
    <sheet xmlns:r="http://schemas.openxmlformats.org/officeDocument/2006/relationships" name="12. Implied IRR" sheetId="12" state="visible" r:id="rId12"/>
    <sheet xmlns:r="http://schemas.openxmlformats.org/officeDocument/2006/relationships" name="13. Summary" sheetId="13" state="visible" r:id="rId13"/>
    <sheet xmlns:r="http://schemas.openxmlformats.org/officeDocument/2006/relationships" name="14. Audi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.00"/>
    <numFmt numFmtId="165" formatCode="#,##0;(#,##0);-"/>
    <numFmt numFmtId="166" formatCode="0.0%"/>
    <numFmt numFmtId="167" formatCode="0.0\x"/>
    <numFmt numFmtId="168" formatCode="0.0"/>
    <numFmt numFmtId="169" formatCode="+0.00%;-0.00%"/>
  </numFmts>
  <fonts count="15">
    <font>
      <name val="Calibri"/>
      <family val="2"/>
      <color theme="1"/>
      <sz val="11"/>
      <scheme val="minor"/>
    </font>
    <font>
      <name val="Calibri"/>
      <b val="1"/>
      <color rgb="FF1B2642"/>
      <sz val="14"/>
    </font>
    <font>
      <name val="Calibri"/>
      <b val="1"/>
      <color rgb="FFB88B47"/>
      <sz val="11"/>
    </font>
    <font>
      <name val="Calibri"/>
      <b val="1"/>
      <color rgb="FFFFFFFF"/>
      <sz val="10"/>
    </font>
    <font>
      <name val="Calibri"/>
      <color rgb="FF000000"/>
      <sz val="10"/>
    </font>
    <font>
      <name val="Calibri"/>
      <color rgb="FF0000FF"/>
      <sz val="10"/>
    </font>
    <font>
      <name val="Calibri"/>
      <i val="1"/>
      <color rgb="FF606060"/>
      <sz val="9"/>
    </font>
    <font>
      <name val="Calibri"/>
      <color rgb="FF0000FF"/>
      <sz val="10"/>
      <u val="single"/>
    </font>
    <font>
      <name val="Calibri"/>
      <b val="1"/>
      <color rgb="FF1B2642"/>
      <sz val="12"/>
    </font>
    <font>
      <name val="Calibri"/>
      <b val="1"/>
      <color rgb="FF000000"/>
      <sz val="10"/>
    </font>
    <font>
      <name val="Calibri"/>
      <i val="1"/>
      <color rgb="FF606060"/>
      <sz val="8"/>
    </font>
    <font>
      <name val="Calibri"/>
      <b val="1"/>
      <color rgb="FF008000"/>
      <sz val="10"/>
    </font>
    <font>
      <name val="Calibri"/>
      <b val="1"/>
      <color rgb="FFFF8080"/>
      <sz val="11"/>
    </font>
    <font>
      <name val="Calibri"/>
      <i val="1"/>
      <color rgb="FF606060"/>
      <sz val="10"/>
    </font>
    <font>
      <name val="Calibri"/>
      <color rgb="FF008000"/>
      <sz val="10"/>
    </font>
  </fonts>
  <fills count="7">
    <fill>
      <patternFill/>
    </fill>
    <fill>
      <patternFill patternType="gray125"/>
    </fill>
    <fill>
      <patternFill patternType="solid">
        <fgColor rgb="FF1B2642"/>
        <bgColor rgb="FF1B2642"/>
      </patternFill>
    </fill>
    <fill>
      <patternFill patternType="solid">
        <fgColor rgb="FFB88B47"/>
        <bgColor rgb="FFB88B47"/>
      </patternFill>
    </fill>
    <fill>
      <patternFill patternType="solid">
        <fgColor rgb="FFBDD7EE"/>
        <bgColor rgb="FFBDD7EE"/>
      </patternFill>
    </fill>
    <fill>
      <patternFill patternType="solid">
        <fgColor rgb="FFD6DCE4"/>
        <bgColor rgb="FFD6DCE4"/>
      </patternFill>
    </fill>
    <fill>
      <patternFill patternType="solid">
        <fgColor rgb="FFE2EFDA"/>
        <b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5" fillId="0" borderId="0" applyAlignment="1" pivotButton="0" quotePrefix="0" xfId="0">
      <alignment horizontal="right" vertical="center"/>
    </xf>
    <xf numFmtId="0" fontId="6" fillId="0" borderId="0" pivotButton="0" quotePrefix="0" xfId="0"/>
    <xf numFmtId="4" fontId="5" fillId="0" borderId="0" applyAlignment="1" pivotButton="0" quotePrefix="0" xfId="0">
      <alignment horizontal="right" vertical="center"/>
    </xf>
    <xf numFmtId="165" fontId="4" fillId="4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5" fontId="4" fillId="0" borderId="0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167" fontId="4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9" fillId="5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left" vertical="center"/>
    </xf>
    <xf numFmtId="165" fontId="5" fillId="4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indent="2"/>
    </xf>
    <xf numFmtId="165" fontId="9" fillId="4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10" fillId="0" borderId="0" pivotButton="0" quotePrefix="0" xfId="0"/>
    <xf numFmtId="0" fontId="9" fillId="6" borderId="0" applyAlignment="1" pivotButton="0" quotePrefix="0" xfId="0">
      <alignment horizontal="left" vertical="center"/>
    </xf>
    <xf numFmtId="165" fontId="9" fillId="6" borderId="0" applyAlignment="1" pivotButton="0" quotePrefix="0" xfId="0">
      <alignment horizontal="right" vertical="center"/>
    </xf>
    <xf numFmtId="0" fontId="9" fillId="4" borderId="0" applyAlignment="1" pivotButton="0" quotePrefix="0" xfId="0">
      <alignment horizontal="left" vertical="center" indent="2"/>
    </xf>
    <xf numFmtId="0" fontId="9" fillId="0" borderId="0" applyAlignment="1" pivotButton="0" quotePrefix="0" xfId="0">
      <alignment horizontal="left" vertical="center" indent="2"/>
    </xf>
    <xf numFmtId="165" fontId="9" fillId="0" borderId="0" applyAlignment="1" pivotButton="0" quotePrefix="0" xfId="0">
      <alignment horizontal="right" vertical="center"/>
    </xf>
    <xf numFmtId="167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166" fontId="4" fillId="0" borderId="0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center"/>
    </xf>
    <xf numFmtId="0" fontId="9" fillId="6" borderId="0" pivotButton="0" quotePrefix="0" xfId="0"/>
    <xf numFmtId="0" fontId="9" fillId="0" borderId="0" pivotButton="0" quotePrefix="0" xfId="0"/>
    <xf numFmtId="0" fontId="12" fillId="2" borderId="0" pivotButton="0" quotePrefix="0" xfId="0"/>
    <xf numFmtId="166" fontId="5" fillId="0" borderId="0" applyAlignment="1" pivotButton="0" quotePrefix="0" xfId="0">
      <alignment horizontal="right" vertical="center"/>
    </xf>
    <xf numFmtId="0" fontId="0" fillId="4" borderId="0" pivotButton="0" quotePrefix="0" xfId="0"/>
    <xf numFmtId="0" fontId="5" fillId="0" borderId="0" applyAlignment="1" pivotButton="0" quotePrefix="0" xfId="0">
      <alignment horizontal="center" vertical="center"/>
    </xf>
    <xf numFmtId="0" fontId="0" fillId="6" borderId="0" pivotButton="0" quotePrefix="0" xfId="0"/>
    <xf numFmtId="4" fontId="4" fillId="0" borderId="0" applyAlignment="1" pivotButton="0" quotePrefix="0" xfId="0">
      <alignment horizontal="right" vertical="center"/>
    </xf>
    <xf numFmtId="164" fontId="9" fillId="4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wrapText="1"/>
    </xf>
    <xf numFmtId="0" fontId="13" fillId="0" borderId="0" pivotButton="0" quotePrefix="0" xfId="0"/>
    <xf numFmtId="165" fontId="14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 indent="2"/>
    </xf>
    <xf numFmtId="165" fontId="13" fillId="0" borderId="0" applyAlignment="1" pivotButton="0" quotePrefix="0" xfId="0">
      <alignment horizontal="right" vertical="center"/>
    </xf>
    <xf numFmtId="2" fontId="5" fillId="0" borderId="0" applyAlignment="1" pivotButton="0" quotePrefix="0" xfId="0">
      <alignment horizontal="right" vertical="center"/>
    </xf>
    <xf numFmtId="166" fontId="9" fillId="4" borderId="0" applyAlignment="1" pivotButton="0" quotePrefix="0" xfId="0">
      <alignment horizontal="right" vertical="center"/>
    </xf>
    <xf numFmtId="166" fontId="9" fillId="6" borderId="0" applyAlignment="1" pivotButton="0" quotePrefix="0" xfId="0">
      <alignment horizontal="right" vertical="center"/>
    </xf>
    <xf numFmtId="4" fontId="14" fillId="0" borderId="0" applyAlignment="1" pivotButton="0" quotePrefix="0" xfId="0">
      <alignment horizontal="right" vertical="center"/>
    </xf>
    <xf numFmtId="164" fontId="9" fillId="6" borderId="0" applyAlignment="1" pivotButton="0" quotePrefix="0" xfId="0">
      <alignment horizontal="right" vertical="center"/>
    </xf>
    <xf numFmtId="164" fontId="14" fillId="0" borderId="0" applyAlignment="1" pivotButton="0" quotePrefix="0" xfId="0">
      <alignment horizontal="right" vertical="center"/>
    </xf>
    <xf numFmtId="166" fontId="9" fillId="5" borderId="0" applyAlignment="1" pivotButton="0" quotePrefix="0" xfId="0">
      <alignment horizontal="center" vertical="center"/>
    </xf>
    <xf numFmtId="169" fontId="4" fillId="0" borderId="0" applyAlignment="1" pivotButton="0" quotePrefix="0" xfId="0">
      <alignment horizontal="center" vertical="center"/>
    </xf>
    <xf numFmtId="166" fontId="14" fillId="0" borderId="0" applyAlignment="1" pivotButton="0" quotePrefix="0" xfId="0">
      <alignment horizontal="right" vertical="center"/>
    </xf>
    <xf numFmtId="0" fontId="4" fillId="6" borderId="0" applyAlignment="1" pivotButton="0" quotePrefix="0" xfId="0">
      <alignment horizontal="center" vertical="center"/>
    </xf>
    <xf numFmtId="165" fontId="14" fillId="4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164" fontId="14" fillId="4" borderId="0" applyAlignment="1" pivotButton="0" quotePrefix="0" xfId="0">
      <alignment horizontal="right" vertical="center"/>
    </xf>
    <xf numFmtId="164" fontId="9" fillId="0" borderId="0" applyAlignment="1" pivotButton="0" quotePrefix="0" xfId="0">
      <alignment horizontal="right" vertical="center"/>
    </xf>
    <xf numFmtId="166" fontId="14" fillId="4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1. Overview'!A1" TargetMode="External" Id="rId1"/><Relationship Type="http://schemas.openxmlformats.org/officeDocument/2006/relationships/hyperlink" Target="#'2. IS'!A1" TargetMode="External" Id="rId2"/><Relationship Type="http://schemas.openxmlformats.org/officeDocument/2006/relationships/hyperlink" Target="#'3. BS'!A1" TargetMode="External" Id="rId3"/><Relationship Type="http://schemas.openxmlformats.org/officeDocument/2006/relationships/hyperlink" Target="#'4. CF'!A1" TargetMode="External" Id="rId4"/><Relationship Type="http://schemas.openxmlformats.org/officeDocument/2006/relationships/hyperlink" Target="#'5. Health'!A1" TargetMode="External" Id="rId5"/><Relationship Type="http://schemas.openxmlformats.org/officeDocument/2006/relationships/hyperlink" Target="#'6. S&amp;M Cap'!A1" TargetMode="External" Id="rId6"/><Relationship Type="http://schemas.openxmlformats.org/officeDocument/2006/relationships/hyperlink" Target="#'7. R&amp;D Cap'!A1" TargetMode="External" Id="rId7"/><Relationship Type="http://schemas.openxmlformats.org/officeDocument/2006/relationships/hyperlink" Target="#'8. RV'!A1" TargetMode="External" Id="rId8"/><Relationship Type="http://schemas.openxmlformats.org/officeDocument/2006/relationships/hyperlink" Target="#'9. NOPAT'!A1" TargetMode="External" Id="rId9"/><Relationship Type="http://schemas.openxmlformats.org/officeDocument/2006/relationships/hyperlink" Target="#'10. EPV'!A1" TargetMode="External" Id="rId10"/><Relationship Type="http://schemas.openxmlformats.org/officeDocument/2006/relationships/hyperlink" Target="#'11. ROIC'!A1" TargetMode="External" Id="rId11"/><Relationship Type="http://schemas.openxmlformats.org/officeDocument/2006/relationships/hyperlink" Target="#'12. Implied IRR'!A1" TargetMode="External" Id="rId12"/><Relationship Type="http://schemas.openxmlformats.org/officeDocument/2006/relationships/hyperlink" Target="#'13. Summary'!A1" TargetMode="External" Id="rId13"/><Relationship Type="http://schemas.openxmlformats.org/officeDocument/2006/relationships/hyperlink" Target="#'14. Audit'!A1" TargetMode="External" Id="rId14"/></Relationships>
</file>

<file path=xl/worksheets/sheet1.xml><?xml version="1.0" encoding="utf-8"?>
<worksheet xmlns="http://schemas.openxmlformats.org/spreadsheetml/2006/main">
  <sheetPr>
    <tabColor rgb="001B2642"/>
    <outlinePr summaryBelow="1" summaryRight="1"/>
    <pageSetUpPr/>
  </sheetPr>
  <dimension ref="B1:E64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22" customWidth="1" min="3" max="3"/>
    <col width="22" customWidth="1" min="4" max="4"/>
    <col width="35" customWidth="1" min="5" max="5"/>
  </cols>
  <sheetData>
    <row r="1" ht="6" customHeight="1">
      <c r="B1" s="1" t="n"/>
      <c r="C1" s="1" t="n"/>
      <c r="D1" s="1" t="n"/>
      <c r="E1" s="1" t="n"/>
    </row>
    <row r="2">
      <c r="B2" s="2" t="inlineStr">
        <is>
          <t>COLUMBIA VALUATION MODEL — Lululemon Athletica Inc. | DCE Holdings</t>
        </is>
      </c>
    </row>
    <row r="3">
      <c r="B3" s="3" t="inlineStr">
        <is>
          <t>Fecha de Valoración: 03-May-2026 | Precio: $137.70</t>
        </is>
      </c>
    </row>
    <row r="4" ht="3" customHeight="1">
      <c r="B4" s="4" t="n"/>
      <c r="C4" s="4" t="n"/>
      <c r="D4" s="4" t="n"/>
      <c r="E4" s="4" t="n"/>
    </row>
    <row r="5">
      <c r="B5" s="5" t="inlineStr">
        <is>
          <t>PERFIL DE LA EMPRESA</t>
        </is>
      </c>
      <c r="C5" s="6" t="n"/>
      <c r="D5" s="6" t="n"/>
      <c r="E5" s="6" t="n"/>
    </row>
    <row r="6">
      <c r="B6" s="7" t="inlineStr">
        <is>
          <t>Nombre</t>
        </is>
      </c>
      <c r="C6" s="8" t="inlineStr">
        <is>
          <t>Lululemon Athletica Inc.</t>
        </is>
      </c>
    </row>
    <row r="7">
      <c r="B7" s="7" t="inlineStr">
        <is>
          <t>Ticker / Bolsa</t>
        </is>
      </c>
      <c r="C7" s="8" t="inlineStr">
        <is>
          <t>LULU / NASDAQ</t>
        </is>
      </c>
    </row>
    <row r="8">
      <c r="B8" s="7" t="inlineStr">
        <is>
          <t>Sector (GICS)</t>
        </is>
      </c>
      <c r="C8" s="8" t="inlineStr">
        <is>
          <t>Consumer Discretionary / Apparel &amp; Athleisure</t>
        </is>
      </c>
    </row>
    <row r="9">
      <c r="B9" s="7" t="inlineStr">
        <is>
          <t>Modelo de Negocio</t>
        </is>
      </c>
      <c r="C9" s="8" t="inlineStr">
        <is>
          <t>Athleisure premium DTC + Wholesale + Retail</t>
        </is>
      </c>
    </row>
    <row r="10">
      <c r="B10" s="7" t="inlineStr">
        <is>
          <t>Fiscal Year End</t>
        </is>
      </c>
      <c r="C10" s="8" t="inlineStr">
        <is>
          <t>~1 de febrero (52/53 semanas)</t>
        </is>
      </c>
    </row>
    <row r="11">
      <c r="B11" s="7" t="inlineStr">
        <is>
          <t>CEO</t>
        </is>
      </c>
      <c r="C11" s="8" t="inlineStr">
        <is>
          <t>Calvin McDonald</t>
        </is>
      </c>
    </row>
    <row r="12">
      <c r="B12" s="7" t="inlineStr">
        <is>
          <t>Sede</t>
        </is>
      </c>
      <c r="C12" s="8" t="inlineStr">
        <is>
          <t>Vancouver, Canadá</t>
        </is>
      </c>
    </row>
    <row r="13">
      <c r="B13" s="7" t="inlineStr">
        <is>
          <t>Empleados</t>
        </is>
      </c>
      <c r="C13" s="8" t="inlineStr">
        <is>
          <t>~38,000</t>
        </is>
      </c>
    </row>
    <row r="14">
      <c r="B14" s="7" t="inlineStr">
        <is>
          <t>Fecha de Valoración</t>
        </is>
      </c>
      <c r="C14" s="8" t="inlineStr">
        <is>
          <t>03-May-2026</t>
        </is>
      </c>
    </row>
    <row r="16">
      <c r="B16" s="5" t="inlineStr">
        <is>
          <t>DATOS DE MERCADO</t>
        </is>
      </c>
      <c r="C16" s="6" t="n"/>
      <c r="D16" s="6" t="n"/>
      <c r="E16" s="6" t="n"/>
    </row>
    <row r="17">
      <c r="B17" s="7" t="inlineStr">
        <is>
          <t>Precio Actual ($)</t>
        </is>
      </c>
      <c r="C17" s="9" t="n">
        <v>137.7</v>
      </c>
      <c r="D17" s="10" t="inlineStr">
        <is>
          <t>Cotización 03-May-2026</t>
        </is>
      </c>
    </row>
    <row r="18">
      <c r="B18" s="7" t="inlineStr">
        <is>
          <t>Acciones Diluidas (M)</t>
        </is>
      </c>
      <c r="C18" s="11" t="n">
        <v>118.5</v>
      </c>
      <c r="D18" s="10" t="inlineStr">
        <is>
          <t>10-K FY2025</t>
        </is>
      </c>
    </row>
    <row r="19">
      <c r="B19" s="7" t="inlineStr">
        <is>
          <t>Market Cap ($M)</t>
        </is>
      </c>
      <c r="C19" s="12">
        <f>C17*C18</f>
        <v/>
      </c>
      <c r="D19" s="10" t="inlineStr">
        <is>
          <t>Precio × Acciones</t>
        </is>
      </c>
    </row>
    <row r="20">
      <c r="B20" s="7" t="inlineStr">
        <is>
          <t>Total Deuda ($M)</t>
        </is>
      </c>
      <c r="C20" s="13" t="n">
        <v>0</v>
      </c>
      <c r="D20" s="10" t="inlineStr">
        <is>
          <t>LULU sin deuda LP</t>
        </is>
      </c>
    </row>
    <row r="21">
      <c r="B21" s="7" t="inlineStr">
        <is>
          <t>Lease Liabilities ($M)</t>
        </is>
      </c>
      <c r="C21" s="14">
        <f>'3. BS'!H23+'3. BS'!H28</f>
        <v/>
      </c>
      <c r="D21" s="10" t="inlineStr">
        <is>
          <t>Suma corriente + LP FY2025</t>
        </is>
      </c>
    </row>
    <row r="22">
      <c r="B22" s="7" t="inlineStr">
        <is>
          <t>Cash + STI ($M)</t>
        </is>
      </c>
      <c r="C22" s="14">
        <f>'3. BS'!H7</f>
        <v/>
      </c>
      <c r="D22" s="10" t="inlineStr">
        <is>
          <t>BS FY2025</t>
        </is>
      </c>
    </row>
    <row r="23">
      <c r="B23" s="7" t="inlineStr">
        <is>
          <t>Enterprise Value ($M)</t>
        </is>
      </c>
      <c r="C23" s="12">
        <f>C19+C20+C21-C22</f>
        <v/>
      </c>
      <c r="D23" s="10" t="inlineStr">
        <is>
          <t>MCap + Debt + Leases − Cash</t>
        </is>
      </c>
    </row>
    <row r="25">
      <c r="B25" s="5" t="inlineStr">
        <is>
          <t>MÉTRICAS FINANCIERAS CLAVE (FY2025)</t>
        </is>
      </c>
      <c r="C25" s="6" t="n"/>
      <c r="D25" s="6" t="n"/>
      <c r="E25" s="6" t="n"/>
    </row>
    <row r="26">
      <c r="B26" s="7" t="inlineStr">
        <is>
          <t>Net Revenue ($M)</t>
        </is>
      </c>
      <c r="C26" s="14">
        <f>'2. IS'!H5</f>
        <v/>
      </c>
    </row>
    <row r="27">
      <c r="B27" s="7" t="inlineStr">
        <is>
          <t>Operating Income ($M)</t>
        </is>
      </c>
      <c r="C27" s="14">
        <f>'2. IS'!H13</f>
        <v/>
      </c>
    </row>
    <row r="28">
      <c r="B28" s="7" t="inlineStr">
        <is>
          <t>Operating Margin %</t>
        </is>
      </c>
      <c r="C28" s="15">
        <f>'2. IS'!H13/'2. IS'!H5</f>
        <v/>
      </c>
    </row>
    <row r="29">
      <c r="B29" s="7" t="inlineStr">
        <is>
          <t>EBITDA ($M)</t>
        </is>
      </c>
      <c r="C29" s="14">
        <f>'2. IS'!H13+'2. IS'!H10</f>
        <v/>
      </c>
    </row>
    <row r="30">
      <c r="B30" s="7" t="inlineStr">
        <is>
          <t>Net Income ($M)</t>
        </is>
      </c>
      <c r="C30" s="14">
        <f>'2. IS'!H17</f>
        <v/>
      </c>
    </row>
    <row r="31">
      <c r="B31" s="7" t="inlineStr">
        <is>
          <t>EPS Diluted</t>
        </is>
      </c>
      <c r="C31" s="16">
        <f>'2. IS'!H28</f>
        <v/>
      </c>
    </row>
    <row r="32">
      <c r="B32" s="7" t="inlineStr">
        <is>
          <t>CFO ($M)</t>
        </is>
      </c>
      <c r="C32" s="14">
        <f>'4. CF'!H12</f>
        <v/>
      </c>
    </row>
    <row r="33">
      <c r="B33" s="7" t="inlineStr">
        <is>
          <t>CapEx ($M)</t>
        </is>
      </c>
      <c r="C33" s="14">
        <f>ABS('4. CF'!H14)</f>
        <v/>
      </c>
    </row>
    <row r="34">
      <c r="B34" s="7" t="inlineStr">
        <is>
          <t>FCF ($M)</t>
        </is>
      </c>
      <c r="C34" s="14">
        <f>'4. CF'!H22</f>
        <v/>
      </c>
    </row>
    <row r="35">
      <c r="B35" s="7" t="inlineStr">
        <is>
          <t>FCF Margin %</t>
        </is>
      </c>
      <c r="C35" s="15">
        <f>'4. CF'!H22/'2. IS'!H5</f>
        <v/>
      </c>
    </row>
    <row r="36">
      <c r="B36" s="7" t="inlineStr">
        <is>
          <t>D&amp;A ($M)</t>
        </is>
      </c>
      <c r="C36" s="14">
        <f>'2. IS'!H10</f>
        <v/>
      </c>
    </row>
    <row r="37">
      <c r="B37" s="7" t="inlineStr">
        <is>
          <t>SBC ($M)</t>
        </is>
      </c>
      <c r="C37" s="14">
        <f>'2. IS'!H25</f>
        <v/>
      </c>
    </row>
    <row r="39">
      <c r="B39" s="5" t="inlineStr">
        <is>
          <t>MÚLTIPLOS DE VALORACIÓN</t>
        </is>
      </c>
      <c r="C39" s="6" t="n"/>
      <c r="D39" s="6" t="n"/>
      <c r="E39" s="6" t="n"/>
    </row>
    <row r="40">
      <c r="B40" s="7" t="inlineStr">
        <is>
          <t>P/E (TTM)</t>
        </is>
      </c>
      <c r="C40" s="17">
        <f>C19/C30</f>
        <v/>
      </c>
    </row>
    <row r="41">
      <c r="B41" s="7" t="inlineStr">
        <is>
          <t>EV/EBITDA</t>
        </is>
      </c>
      <c r="C41" s="17">
        <f>C23/C29</f>
        <v/>
      </c>
    </row>
    <row r="42">
      <c r="B42" s="7" t="inlineStr">
        <is>
          <t>EV/Revenue</t>
        </is>
      </c>
      <c r="C42" s="17">
        <f>C23/C26</f>
        <v/>
      </c>
    </row>
    <row r="43">
      <c r="B43" s="7" t="inlineStr">
        <is>
          <t>P/FCF</t>
        </is>
      </c>
      <c r="C43" s="17">
        <f>C19/C34</f>
        <v/>
      </c>
    </row>
    <row r="44">
      <c r="B44" s="7" t="inlineStr">
        <is>
          <t>Price / Book</t>
        </is>
      </c>
      <c r="C44" s="17">
        <f>C19/'3. BS'!H32</f>
        <v/>
      </c>
    </row>
    <row r="45">
      <c r="B45" s="7" t="inlineStr">
        <is>
          <t>Dividend Yield</t>
        </is>
      </c>
      <c r="C45" s="15">
        <f>0</f>
        <v/>
      </c>
    </row>
    <row r="46">
      <c r="B46" s="7" t="inlineStr">
        <is>
          <t>Revenue Growth YoY</t>
        </is>
      </c>
      <c r="C46" s="15">
        <f>('2. IS'!H5/'2. IS'!G5)-1</f>
        <v/>
      </c>
    </row>
    <row r="47">
      <c r="B47" s="7" t="inlineStr">
        <is>
          <t>EBITDA Growth YoY</t>
        </is>
      </c>
      <c r="C47" s="15">
        <f>(('2. IS'!H13+'2. IS'!H10)/('2. IS'!G13+'2. IS'!G10))-1</f>
        <v/>
      </c>
    </row>
    <row r="48">
      <c r="B48" s="7" t="inlineStr">
        <is>
          <t>FCF Growth YoY</t>
        </is>
      </c>
      <c r="C48" s="15">
        <f>('4. CF'!H22/'4. CF'!G22)-1</f>
        <v/>
      </c>
    </row>
    <row r="50">
      <c r="B50" s="5" t="inlineStr">
        <is>
          <t>ÍNDICE DE HOJAS</t>
        </is>
      </c>
      <c r="C50" s="6" t="n"/>
      <c r="D50" s="6" t="n"/>
      <c r="E50" s="6" t="n"/>
    </row>
    <row r="51">
      <c r="B51" s="18" t="inlineStr">
        <is>
          <t>1. Overview</t>
        </is>
      </c>
      <c r="C51" s="7" t="inlineStr">
        <is>
          <t>Perfil de empresa, datos de mercado y múltiplos</t>
        </is>
      </c>
    </row>
    <row r="52">
      <c r="B52" s="18" t="inlineStr">
        <is>
          <t>2. IS</t>
        </is>
      </c>
      <c r="C52" s="7" t="inlineStr">
        <is>
          <t>Income Statement FY2020–FY2025</t>
        </is>
      </c>
    </row>
    <row r="53">
      <c r="B53" s="18" t="inlineStr">
        <is>
          <t>3. BS</t>
        </is>
      </c>
      <c r="C53" s="7" t="inlineStr">
        <is>
          <t>Balance Sheet FY2020–FY2025</t>
        </is>
      </c>
    </row>
    <row r="54">
      <c r="B54" s="18" t="inlineStr">
        <is>
          <t>4. CF</t>
        </is>
      </c>
      <c r="C54" s="7" t="inlineStr">
        <is>
          <t>Cash Flow Statement FY2020–FY2025</t>
        </is>
      </c>
    </row>
    <row r="55">
      <c r="B55" s="18" t="inlineStr">
        <is>
          <t>5. Health</t>
        </is>
      </c>
      <c r="C55" s="7" t="inlineStr">
        <is>
          <t>Indicadores de salud financiera</t>
        </is>
      </c>
    </row>
    <row r="56">
      <c r="B56" s="18" t="inlineStr">
        <is>
          <t>6. S&amp;M Cap</t>
        </is>
      </c>
      <c r="C56" s="7" t="inlineStr">
        <is>
          <t>Capitalización de Marketing — Vida útil 3 años</t>
        </is>
      </c>
    </row>
    <row r="57">
      <c r="B57" s="18" t="inlineStr">
        <is>
          <t>7. R&amp;D Cap</t>
        </is>
      </c>
      <c r="C57" s="7" t="inlineStr">
        <is>
          <t>R&amp;D Capitalization (N/A — LULU no reporta R&amp;D)</t>
        </is>
      </c>
    </row>
    <row r="58">
      <c r="B58" s="18" t="inlineStr">
        <is>
          <t>8. RV</t>
        </is>
      </c>
      <c r="C58" s="7" t="inlineStr">
        <is>
          <t>Reproduction Value</t>
        </is>
      </c>
    </row>
    <row r="59">
      <c r="B59" s="18" t="inlineStr">
        <is>
          <t>9. NOPAT</t>
        </is>
      </c>
      <c r="C59" s="7" t="inlineStr">
        <is>
          <t>NOPAT Ajustado y Normalizado</t>
        </is>
      </c>
    </row>
    <row r="60">
      <c r="B60" s="18" t="inlineStr">
        <is>
          <t>10. EPV</t>
        </is>
      </c>
      <c r="C60" s="7" t="inlineStr">
        <is>
          <t>Earnings Power Value</t>
        </is>
      </c>
    </row>
    <row r="61">
      <c r="B61" s="18" t="inlineStr">
        <is>
          <t>11. ROIC</t>
        </is>
      </c>
      <c r="C61" s="7" t="inlineStr">
        <is>
          <t>Return on Invested Capital</t>
        </is>
      </c>
    </row>
    <row r="62">
      <c r="B62" s="18" t="inlineStr">
        <is>
          <t>12. Implied IRR</t>
        </is>
      </c>
      <c r="C62" s="7" t="inlineStr">
        <is>
          <t>Marco enterprise (EV → Distribuciones → Crecimiento)</t>
        </is>
      </c>
    </row>
    <row r="63">
      <c r="B63" s="18" t="inlineStr">
        <is>
          <t>13. Summary</t>
        </is>
      </c>
      <c r="C63" s="7" t="inlineStr">
        <is>
          <t>Escalera Columbia: RV → EPV → Precio</t>
        </is>
      </c>
    </row>
    <row r="64">
      <c r="B64" s="18" t="inlineStr">
        <is>
          <t>14. Audit</t>
        </is>
      </c>
      <c r="C64" s="7" t="inlineStr">
        <is>
          <t>Audit log y verificaciones</t>
        </is>
      </c>
    </row>
  </sheetData>
  <mergeCells count="25">
    <mergeCell ref="C54:E54"/>
    <mergeCell ref="C55:E55"/>
    <mergeCell ref="C9:E9"/>
    <mergeCell ref="C56:E56"/>
    <mergeCell ref="C59:E59"/>
    <mergeCell ref="C12:E12"/>
    <mergeCell ref="C51:E51"/>
    <mergeCell ref="C60:E60"/>
    <mergeCell ref="C11:E11"/>
    <mergeCell ref="C52:E52"/>
    <mergeCell ref="C61:E61"/>
    <mergeCell ref="C8:E8"/>
    <mergeCell ref="B3:E3"/>
    <mergeCell ref="C7:E7"/>
    <mergeCell ref="C13:E13"/>
    <mergeCell ref="C57:E57"/>
    <mergeCell ref="C53:E53"/>
    <mergeCell ref="B2:E2"/>
    <mergeCell ref="C6:E6"/>
    <mergeCell ref="C62:E62"/>
    <mergeCell ref="C58:E58"/>
    <mergeCell ref="C14:E14"/>
    <mergeCell ref="C64:E64"/>
    <mergeCell ref="C63:E63"/>
    <mergeCell ref="C10:E10"/>
  </mergeCells>
  <hyperlinks>
    <hyperlink xmlns:r="http://schemas.openxmlformats.org/officeDocument/2006/relationships" ref="B51" r:id="rId1"/>
    <hyperlink xmlns:r="http://schemas.openxmlformats.org/officeDocument/2006/relationships" ref="B52" r:id="rId2"/>
    <hyperlink xmlns:r="http://schemas.openxmlformats.org/officeDocument/2006/relationships" ref="B53" r:id="rId3"/>
    <hyperlink xmlns:r="http://schemas.openxmlformats.org/officeDocument/2006/relationships" ref="B54" r:id="rId4"/>
    <hyperlink xmlns:r="http://schemas.openxmlformats.org/officeDocument/2006/relationships" ref="B55" r:id="rId5"/>
    <hyperlink xmlns:r="http://schemas.openxmlformats.org/officeDocument/2006/relationships" ref="B56" r:id="rId6"/>
    <hyperlink xmlns:r="http://schemas.openxmlformats.org/officeDocument/2006/relationships" ref="B57" r:id="rId7"/>
    <hyperlink xmlns:r="http://schemas.openxmlformats.org/officeDocument/2006/relationships" ref="B58" r:id="rId8"/>
    <hyperlink xmlns:r="http://schemas.openxmlformats.org/officeDocument/2006/relationships" ref="B59" r:id="rId9"/>
    <hyperlink xmlns:r="http://schemas.openxmlformats.org/officeDocument/2006/relationships" ref="B60" r:id="rId10"/>
    <hyperlink xmlns:r="http://schemas.openxmlformats.org/officeDocument/2006/relationships" ref="B61" r:id="rId11"/>
    <hyperlink xmlns:r="http://schemas.openxmlformats.org/officeDocument/2006/relationships" ref="B62" r:id="rId12"/>
    <hyperlink xmlns:r="http://schemas.openxmlformats.org/officeDocument/2006/relationships" ref="B63" r:id="rId13"/>
    <hyperlink xmlns:r="http://schemas.openxmlformats.org/officeDocument/2006/relationships" ref="B64" r:id="rId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B2:H32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2">
      <c r="B2" s="19" t="inlineStr">
        <is>
          <t>INCOME STATEMENT — Lululemon Athletica Inc.</t>
        </is>
      </c>
    </row>
    <row r="3">
      <c r="B3" s="20" t="inlineStr">
        <is>
          <t>En $M USD | Source: 10-K filings (SEC EDGAR) + Press Release FY2025</t>
        </is>
      </c>
    </row>
    <row r="4">
      <c r="B4" s="21" t="inlineStr">
        <is>
          <t>CONCEPTO ($M)</t>
        </is>
      </c>
      <c r="C4" s="21" t="inlineStr">
        <is>
          <t>FY 2020</t>
        </is>
      </c>
      <c r="D4" s="21" t="inlineStr">
        <is>
          <t>FY 2021</t>
        </is>
      </c>
      <c r="E4" s="21" t="inlineStr">
        <is>
          <t>FY 2022</t>
        </is>
      </c>
      <c r="F4" s="21" t="inlineStr">
        <is>
          <t>FY 2023</t>
        </is>
      </c>
      <c r="G4" s="21" t="inlineStr">
        <is>
          <t>FY 2024</t>
        </is>
      </c>
      <c r="H4" s="21" t="inlineStr">
        <is>
          <t>FY 2025</t>
        </is>
      </c>
    </row>
    <row r="5">
      <c r="B5" s="22" t="inlineStr">
        <is>
          <t>Net Revenue</t>
        </is>
      </c>
      <c r="C5" s="23" t="n">
        <v>3979</v>
      </c>
      <c r="D5" s="23" t="n">
        <v>4402</v>
      </c>
      <c r="E5" s="23" t="n">
        <v>6257</v>
      </c>
      <c r="F5" s="23" t="n">
        <v>8111</v>
      </c>
      <c r="G5" s="23" t="n">
        <v>9619</v>
      </c>
      <c r="H5" s="23" t="n">
        <v>11100</v>
      </c>
    </row>
    <row r="6">
      <c r="B6" s="24" t="inlineStr">
        <is>
          <t>Cost of Goods Sold</t>
        </is>
      </c>
      <c r="C6" s="13" t="n">
        <v>1756</v>
      </c>
      <c r="D6" s="13" t="n">
        <v>1938</v>
      </c>
      <c r="E6" s="13" t="n">
        <v>2648</v>
      </c>
      <c r="F6" s="13" t="n">
        <v>3618</v>
      </c>
      <c r="G6" s="13" t="n">
        <v>4010</v>
      </c>
      <c r="H6" s="13" t="n">
        <v>4773</v>
      </c>
    </row>
    <row r="7">
      <c r="B7" s="22" t="inlineStr">
        <is>
          <t>Gross Profit</t>
        </is>
      </c>
      <c r="C7" s="25">
        <f>C5-C6</f>
        <v/>
      </c>
      <c r="D7" s="25">
        <f>D5-D6</f>
        <v/>
      </c>
      <c r="E7" s="25">
        <f>E5-E6</f>
        <v/>
      </c>
      <c r="F7" s="25">
        <f>F5-F6</f>
        <v/>
      </c>
      <c r="G7" s="25">
        <f>G5-G6</f>
        <v/>
      </c>
      <c r="H7" s="25">
        <f>H5-H6</f>
        <v/>
      </c>
    </row>
    <row r="9">
      <c r="B9" s="26" t="inlineStr">
        <is>
          <t>OPERATING EXPENSES:</t>
        </is>
      </c>
    </row>
    <row r="10">
      <c r="B10" s="24" t="inlineStr">
        <is>
          <t>Depreciation and Amortization</t>
        </is>
      </c>
      <c r="C10" s="13" t="n">
        <v>162</v>
      </c>
      <c r="D10" s="13" t="n">
        <v>185</v>
      </c>
      <c r="E10" s="13" t="n">
        <v>224</v>
      </c>
      <c r="F10" s="13" t="n">
        <v>292</v>
      </c>
      <c r="G10" s="13" t="n">
        <v>322</v>
      </c>
      <c r="H10" s="13" t="n">
        <v>414</v>
      </c>
    </row>
    <row r="11">
      <c r="B11" s="24" t="inlineStr">
        <is>
          <t>Selling, General and Administrative (ex D&amp;A)</t>
        </is>
      </c>
      <c r="C11" s="13" t="n">
        <v>1172</v>
      </c>
      <c r="D11" s="13" t="n">
        <v>1424</v>
      </c>
      <c r="E11" s="13" t="n">
        <v>2001</v>
      </c>
      <c r="F11" s="13" t="n">
        <v>2465</v>
      </c>
      <c r="G11" s="13" t="n">
        <v>3075</v>
      </c>
      <c r="H11" s="13" t="n">
        <v>3567</v>
      </c>
    </row>
    <row r="12">
      <c r="B12" s="24" t="inlineStr">
        <is>
          <t>Impairments and Restructuring</t>
        </is>
      </c>
      <c r="C12" s="13" t="n">
        <v>0</v>
      </c>
      <c r="D12" s="13" t="n">
        <v>0</v>
      </c>
      <c r="E12" s="13" t="n">
        <v>0</v>
      </c>
      <c r="F12" s="13" t="n">
        <v>408</v>
      </c>
      <c r="G12" s="13" t="n">
        <v>0</v>
      </c>
      <c r="H12" s="13" t="n">
        <v>0</v>
      </c>
    </row>
    <row r="13">
      <c r="B13" s="22" t="inlineStr">
        <is>
          <t>Operating Income</t>
        </is>
      </c>
      <c r="C13" s="25">
        <f>C7-C10-C11-C12</f>
        <v/>
      </c>
      <c r="D13" s="25">
        <f>D7-D10-D11-D12</f>
        <v/>
      </c>
      <c r="E13" s="25">
        <f>E7-E10-E11-E12</f>
        <v/>
      </c>
      <c r="F13" s="25">
        <f>F7-F10-F11-F12</f>
        <v/>
      </c>
      <c r="G13" s="25">
        <f>G7-G10-G11-G12</f>
        <v/>
      </c>
      <c r="H13" s="25">
        <f>H7-H10-H11-H12</f>
        <v/>
      </c>
    </row>
    <row r="15">
      <c r="B15" s="24" t="inlineStr">
        <is>
          <t>Income Before Taxes</t>
        </is>
      </c>
      <c r="C15" s="14">
        <f>C13</f>
        <v/>
      </c>
      <c r="D15" s="14">
        <f>D13</f>
        <v/>
      </c>
      <c r="E15" s="14">
        <f>E13</f>
        <v/>
      </c>
      <c r="F15" s="14">
        <f>F13</f>
        <v/>
      </c>
      <c r="G15" s="14">
        <f>G13</f>
        <v/>
      </c>
      <c r="H15" s="14">
        <f>H13</f>
        <v/>
      </c>
    </row>
    <row r="16">
      <c r="B16" s="24" t="inlineStr">
        <is>
          <t>Provision for Income Taxes</t>
        </is>
      </c>
      <c r="C16" s="13" t="n">
        <v>244</v>
      </c>
      <c r="D16" s="13" t="n">
        <v>231</v>
      </c>
      <c r="E16" s="13" t="n">
        <v>358</v>
      </c>
      <c r="F16" s="13" t="n">
        <v>474</v>
      </c>
      <c r="G16" s="13" t="n">
        <v>583</v>
      </c>
      <c r="H16" s="13" t="n">
        <v>660</v>
      </c>
    </row>
    <row r="17">
      <c r="B17" s="22" t="inlineStr">
        <is>
          <t>Net Income</t>
        </is>
      </c>
      <c r="C17" s="25">
        <f>C15-C16</f>
        <v/>
      </c>
      <c r="D17" s="25">
        <f>D15-D16</f>
        <v/>
      </c>
      <c r="E17" s="25">
        <f>E15-E16</f>
        <v/>
      </c>
      <c r="F17" s="25">
        <f>F15-F16</f>
        <v/>
      </c>
      <c r="G17" s="25">
        <f>G15-G16</f>
        <v/>
      </c>
      <c r="H17" s="25">
        <f>H15-H16</f>
        <v/>
      </c>
    </row>
    <row r="19">
      <c r="B19" s="26" t="inlineStr">
        <is>
          <t>MÉTRICAS DERIVADAS:</t>
        </is>
      </c>
    </row>
    <row r="20">
      <c r="B20" s="27" t="inlineStr">
        <is>
          <t>EBITDA</t>
        </is>
      </c>
      <c r="C20" s="14">
        <f>C13+C10</f>
        <v/>
      </c>
      <c r="D20" s="14">
        <f>D13+D10</f>
        <v/>
      </c>
      <c r="E20" s="14">
        <f>E13+E10</f>
        <v/>
      </c>
      <c r="F20" s="14">
        <f>F13+F10</f>
        <v/>
      </c>
      <c r="G20" s="14">
        <f>G13+G10</f>
        <v/>
      </c>
      <c r="H20" s="14">
        <f>H13+H10</f>
        <v/>
      </c>
    </row>
    <row r="21">
      <c r="B21" s="27" t="inlineStr">
        <is>
          <t>Operating Margin %</t>
        </is>
      </c>
      <c r="C21" s="15">
        <f>C13/C5</f>
        <v/>
      </c>
      <c r="D21" s="15">
        <f>D13/D5</f>
        <v/>
      </c>
      <c r="E21" s="15">
        <f>E13/E5</f>
        <v/>
      </c>
      <c r="F21" s="15">
        <f>F13/F5</f>
        <v/>
      </c>
      <c r="G21" s="15">
        <f>G13/G5</f>
        <v/>
      </c>
      <c r="H21" s="15">
        <f>H13/H5</f>
        <v/>
      </c>
    </row>
    <row r="22">
      <c r="B22" s="27" t="inlineStr">
        <is>
          <t>Net Margin %</t>
        </is>
      </c>
      <c r="C22" s="15">
        <f>C17/C5</f>
        <v/>
      </c>
      <c r="D22" s="15">
        <f>D17/D5</f>
        <v/>
      </c>
      <c r="E22" s="15">
        <f>E17/E5</f>
        <v/>
      </c>
      <c r="F22" s="15">
        <f>F17/F5</f>
        <v/>
      </c>
      <c r="G22" s="15">
        <f>G17/G5</f>
        <v/>
      </c>
      <c r="H22" s="15">
        <f>H17/H5</f>
        <v/>
      </c>
    </row>
    <row r="23">
      <c r="B23" s="27" t="inlineStr">
        <is>
          <t>Effective Tax Rate</t>
        </is>
      </c>
      <c r="C23" s="15">
        <f>IFERROR(C16/C15,0)</f>
        <v/>
      </c>
      <c r="D23" s="15">
        <f>IFERROR(D16/D15,0)</f>
        <v/>
      </c>
      <c r="E23" s="15">
        <f>IFERROR(E16/E15,0)</f>
        <v/>
      </c>
      <c r="F23" s="15">
        <f>IFERROR(F16/F15,0)</f>
        <v/>
      </c>
      <c r="G23" s="15">
        <f>IFERROR(G16/G15,0)</f>
        <v/>
      </c>
      <c r="H23" s="15">
        <f>IFERROR(H16/H15,0)</f>
        <v/>
      </c>
    </row>
    <row r="25">
      <c r="B25" s="24" t="inlineStr">
        <is>
          <t>Stock-Based Compensation</t>
        </is>
      </c>
      <c r="C25" s="13" t="n">
        <v>46</v>
      </c>
      <c r="D25" s="13" t="n">
        <v>51</v>
      </c>
      <c r="E25" s="13" t="n">
        <v>69</v>
      </c>
      <c r="F25" s="13" t="n">
        <v>78</v>
      </c>
      <c r="G25" s="13" t="n">
        <v>94</v>
      </c>
      <c r="H25" s="13" t="n">
        <v>50</v>
      </c>
    </row>
    <row r="26">
      <c r="B26" s="27" t="inlineStr">
        <is>
          <t>SBC % of Revenue</t>
        </is>
      </c>
      <c r="C26" s="15">
        <f>C25/C5</f>
        <v/>
      </c>
      <c r="D26" s="15">
        <f>D25/D5</f>
        <v/>
      </c>
      <c r="E26" s="15">
        <f>E25/E5</f>
        <v/>
      </c>
      <c r="F26" s="15">
        <f>F25/F5</f>
        <v/>
      </c>
      <c r="G26" s="15">
        <f>G25/G5</f>
        <v/>
      </c>
      <c r="H26" s="15">
        <f>H25/H5</f>
        <v/>
      </c>
    </row>
    <row r="27">
      <c r="B27" s="26" t="inlineStr">
        <is>
          <t>DATOS SUPLEMENTARIOS:</t>
        </is>
      </c>
    </row>
    <row r="28">
      <c r="B28" s="24" t="inlineStr">
        <is>
          <t>EPS Diluted</t>
        </is>
      </c>
      <c r="C28" s="9" t="n">
        <v>4.93</v>
      </c>
      <c r="D28" s="9" t="n">
        <v>4.5</v>
      </c>
      <c r="E28" s="9" t="n">
        <v>7.48</v>
      </c>
      <c r="F28" s="9" t="n">
        <v>6.68</v>
      </c>
      <c r="G28" s="9" t="n">
        <v>12.2</v>
      </c>
      <c r="H28" s="9" t="n">
        <v>14.2</v>
      </c>
    </row>
    <row r="29">
      <c r="B29" s="24" t="inlineStr">
        <is>
          <t>Diluted Shares (M)</t>
        </is>
      </c>
      <c r="C29" s="11" t="n">
        <v>130.96</v>
      </c>
      <c r="D29" s="11" t="n">
        <v>130.87</v>
      </c>
      <c r="E29" s="11" t="n">
        <v>130.3</v>
      </c>
      <c r="F29" s="11" t="n">
        <v>128.02</v>
      </c>
      <c r="G29" s="11" t="n">
        <v>127.06</v>
      </c>
      <c r="H29" s="11" t="n">
        <v>118.5</v>
      </c>
    </row>
    <row r="30">
      <c r="B30" s="24" t="inlineStr">
        <is>
          <t>Marketing/Brand Spend (estimate)</t>
        </is>
      </c>
      <c r="C30" s="13" t="n">
        <v>130</v>
      </c>
      <c r="D30" s="13" t="n">
        <v>145</v>
      </c>
      <c r="E30" s="13" t="n">
        <v>200</v>
      </c>
      <c r="F30" s="13" t="n">
        <v>265</v>
      </c>
      <c r="G30" s="13" t="n">
        <v>320</v>
      </c>
      <c r="H30" s="13" t="n">
        <v>370</v>
      </c>
    </row>
    <row r="32">
      <c r="B32" s="28" t="inlineStr">
        <is>
          <t>Source: SEC 10-K (Lululemon Athletica Inc.) | Press Release 17-Mar-2026 | DCE Holdings | 03-May-2026</t>
        </is>
      </c>
    </row>
  </sheetData>
  <mergeCells count="3">
    <mergeCell ref="B3:H3"/>
    <mergeCell ref="B32:H32"/>
    <mergeCell ref="B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B2:H41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2">
      <c r="B2" s="19" t="inlineStr">
        <is>
          <t>BALANCE SHEET — Lululemon Athletica Inc.</t>
        </is>
      </c>
    </row>
    <row r="3">
      <c r="B3" s="20" t="inlineStr">
        <is>
          <t>En $M USD | Source: 10-K filings (SEC EDGAR)</t>
        </is>
      </c>
    </row>
    <row r="4">
      <c r="B4" s="21" t="inlineStr">
        <is>
          <t>CONCEPTO ($M)</t>
        </is>
      </c>
      <c r="C4" s="21" t="inlineStr">
        <is>
          <t>FY 2020</t>
        </is>
      </c>
      <c r="D4" s="21" t="inlineStr">
        <is>
          <t>FY 2021</t>
        </is>
      </c>
      <c r="E4" s="21" t="inlineStr">
        <is>
          <t>FY 2022</t>
        </is>
      </c>
      <c r="F4" s="21" t="inlineStr">
        <is>
          <t>FY 2023</t>
        </is>
      </c>
      <c r="G4" s="21" t="inlineStr">
        <is>
          <t>FY 2024</t>
        </is>
      </c>
      <c r="H4" s="21" t="inlineStr">
        <is>
          <t>FY 2025</t>
        </is>
      </c>
    </row>
    <row r="5">
      <c r="B5" s="5" t="inlineStr">
        <is>
          <t>ACTIVOS</t>
        </is>
      </c>
      <c r="C5" s="6" t="n"/>
      <c r="D5" s="6" t="n"/>
      <c r="E5" s="6" t="n"/>
      <c r="F5" s="6" t="n"/>
      <c r="G5" s="6" t="n"/>
      <c r="H5" s="6" t="n"/>
    </row>
    <row r="6">
      <c r="B6" s="26" t="inlineStr">
        <is>
          <t>Current Assets:</t>
        </is>
      </c>
    </row>
    <row r="7">
      <c r="B7" s="24" t="inlineStr">
        <is>
          <t>Cash and Cash Equivalents</t>
        </is>
      </c>
      <c r="C7" s="13" t="n">
        <v>1094</v>
      </c>
      <c r="D7" s="13" t="n">
        <v>1151</v>
      </c>
      <c r="E7" s="13" t="n">
        <v>1260</v>
      </c>
      <c r="F7" s="13" t="n">
        <v>2243</v>
      </c>
      <c r="G7" s="13" t="n">
        <v>1188</v>
      </c>
      <c r="H7" s="13" t="n">
        <v>1807</v>
      </c>
    </row>
    <row r="8">
      <c r="B8" s="24" t="inlineStr">
        <is>
          <t>Accounts Receivable</t>
        </is>
      </c>
      <c r="C8" s="13" t="n">
        <v>40</v>
      </c>
      <c r="D8" s="13" t="n">
        <v>62</v>
      </c>
      <c r="E8" s="13" t="n">
        <v>77</v>
      </c>
      <c r="F8" s="13" t="n">
        <v>125</v>
      </c>
      <c r="G8" s="13" t="n">
        <v>143</v>
      </c>
      <c r="H8" s="13" t="n">
        <v>191</v>
      </c>
    </row>
    <row r="9">
      <c r="B9" s="24" t="inlineStr">
        <is>
          <t>Inventories</t>
        </is>
      </c>
      <c r="C9" s="13" t="n">
        <v>519</v>
      </c>
      <c r="D9" s="13" t="n">
        <v>647</v>
      </c>
      <c r="E9" s="13" t="n">
        <v>966</v>
      </c>
      <c r="F9" s="13" t="n">
        <v>1324</v>
      </c>
      <c r="G9" s="13" t="n">
        <v>1801</v>
      </c>
      <c r="H9" s="13" t="n">
        <v>1701</v>
      </c>
    </row>
    <row r="10">
      <c r="B10" s="24" t="inlineStr">
        <is>
          <t>Other Current Assets</t>
        </is>
      </c>
      <c r="C10" s="13" t="n">
        <v>156</v>
      </c>
      <c r="D10" s="13" t="n">
        <v>264</v>
      </c>
      <c r="E10" s="13" t="n">
        <v>311</v>
      </c>
      <c r="F10" s="13" t="n">
        <v>368</v>
      </c>
      <c r="G10" s="13" t="n">
        <v>472</v>
      </c>
      <c r="H10" s="13" t="n">
        <v>564</v>
      </c>
    </row>
    <row r="11">
      <c r="B11" s="29" t="inlineStr">
        <is>
          <t>Total Current Assets</t>
        </is>
      </c>
      <c r="C11" s="30">
        <f>SUM(C7:C10)</f>
        <v/>
      </c>
      <c r="D11" s="30">
        <f>SUM(D7:D10)</f>
        <v/>
      </c>
      <c r="E11" s="30">
        <f>SUM(E7:E10)</f>
        <v/>
      </c>
      <c r="F11" s="30">
        <f>SUM(F7:F10)</f>
        <v/>
      </c>
      <c r="G11" s="30">
        <f>SUM(G7:G10)</f>
        <v/>
      </c>
      <c r="H11" s="30">
        <f>SUM(H7:H10)</f>
        <v/>
      </c>
    </row>
    <row r="13">
      <c r="B13" s="26" t="inlineStr">
        <is>
          <t>Non-Current Assets:</t>
        </is>
      </c>
    </row>
    <row r="14">
      <c r="B14" s="24" t="inlineStr">
        <is>
          <t>Property and Equipment, net</t>
        </is>
      </c>
      <c r="C14" s="13" t="n">
        <v>672</v>
      </c>
      <c r="D14" s="13" t="n">
        <v>746</v>
      </c>
      <c r="E14" s="13" t="n">
        <v>928</v>
      </c>
      <c r="F14" s="13" t="n">
        <v>1546</v>
      </c>
      <c r="G14" s="13" t="n">
        <v>1698</v>
      </c>
      <c r="H14" s="13" t="n">
        <v>2000</v>
      </c>
    </row>
    <row r="15">
      <c r="B15" s="24" t="inlineStr">
        <is>
          <t>Right-of-Use Lease Assets</t>
        </is>
      </c>
      <c r="C15" s="13" t="n">
        <v>690</v>
      </c>
      <c r="D15" s="13" t="n">
        <v>735</v>
      </c>
      <c r="E15" s="13" t="n">
        <v>804</v>
      </c>
      <c r="F15" s="13" t="n">
        <v>1266</v>
      </c>
      <c r="G15" s="13" t="n">
        <v>1361</v>
      </c>
      <c r="H15" s="13" t="n">
        <v>1650</v>
      </c>
    </row>
    <row r="16">
      <c r="B16" s="24" t="inlineStr">
        <is>
          <t>Goodwill</t>
        </is>
      </c>
      <c r="C16" s="13" t="n">
        <v>24</v>
      </c>
      <c r="D16" s="13" t="n">
        <v>387</v>
      </c>
      <c r="E16" s="13" t="n">
        <v>387</v>
      </c>
      <c r="F16" s="13" t="n">
        <v>24</v>
      </c>
      <c r="G16" s="13" t="n">
        <v>164</v>
      </c>
      <c r="H16" s="13" t="n">
        <v>173</v>
      </c>
    </row>
    <row r="17">
      <c r="B17" s="24" t="inlineStr">
        <is>
          <t>Intangible Assets, net</t>
        </is>
      </c>
      <c r="C17" s="13" t="n">
        <v>0</v>
      </c>
      <c r="D17" s="13" t="n">
        <v>80</v>
      </c>
      <c r="E17" s="13" t="n">
        <v>71</v>
      </c>
      <c r="F17" s="13" t="n">
        <v>0</v>
      </c>
      <c r="G17" s="13" t="n">
        <v>14</v>
      </c>
      <c r="H17" s="13" t="n">
        <v>9</v>
      </c>
    </row>
    <row r="18">
      <c r="B18" s="24" t="inlineStr">
        <is>
          <t>Other Non-Current Assets</t>
        </is>
      </c>
      <c r="C18" s="13" t="n">
        <v>88</v>
      </c>
      <c r="D18" s="13" t="n">
        <v>113</v>
      </c>
      <c r="E18" s="13" t="n">
        <v>138</v>
      </c>
      <c r="F18" s="13" t="n">
        <v>196</v>
      </c>
      <c r="G18" s="13" t="n">
        <v>242</v>
      </c>
      <c r="H18" s="13" t="n">
        <v>305</v>
      </c>
    </row>
    <row r="19">
      <c r="B19" s="22" t="inlineStr">
        <is>
          <t>Total Assets</t>
        </is>
      </c>
      <c r="C19" s="25">
        <f>C11+SUM(C14:C18)</f>
        <v/>
      </c>
      <c r="D19" s="25">
        <f>D11+SUM(D14:D18)</f>
        <v/>
      </c>
      <c r="E19" s="25">
        <f>E11+SUM(E14:E18)</f>
        <v/>
      </c>
      <c r="F19" s="25">
        <f>F11+SUM(F14:F18)</f>
        <v/>
      </c>
      <c r="G19" s="25">
        <f>G11+SUM(G14:G18)</f>
        <v/>
      </c>
      <c r="H19" s="25">
        <f>H11+SUM(H14:H18)</f>
        <v/>
      </c>
    </row>
    <row r="21">
      <c r="B21" s="5" t="inlineStr">
        <is>
          <t>PASIVOS</t>
        </is>
      </c>
      <c r="C21" s="6" t="n"/>
      <c r="D21" s="6" t="n"/>
      <c r="E21" s="6" t="n"/>
      <c r="F21" s="6" t="n"/>
      <c r="G21" s="6" t="n"/>
      <c r="H21" s="6" t="n"/>
    </row>
    <row r="22">
      <c r="B22" s="24" t="inlineStr">
        <is>
          <t>Accounts Payable</t>
        </is>
      </c>
      <c r="C22" s="13" t="n">
        <v>80</v>
      </c>
      <c r="D22" s="13" t="n">
        <v>172</v>
      </c>
      <c r="E22" s="13" t="n">
        <v>290</v>
      </c>
      <c r="F22" s="13" t="n">
        <v>348</v>
      </c>
      <c r="G22" s="13" t="n">
        <v>386</v>
      </c>
      <c r="H22" s="13" t="n">
        <v>446</v>
      </c>
    </row>
    <row r="23">
      <c r="B23" s="24" t="inlineStr">
        <is>
          <t>Lease Liabilities (Current)</t>
        </is>
      </c>
      <c r="C23" s="13" t="n">
        <v>129</v>
      </c>
      <c r="D23" s="13" t="n">
        <v>166</v>
      </c>
      <c r="E23" s="13" t="n">
        <v>189</v>
      </c>
      <c r="F23" s="13" t="n">
        <v>208</v>
      </c>
      <c r="G23" s="13" t="n">
        <v>249</v>
      </c>
      <c r="H23" s="13" t="n">
        <v>305</v>
      </c>
    </row>
    <row r="24">
      <c r="B24" s="24" t="inlineStr">
        <is>
          <t>Other Current Liabilities</t>
        </is>
      </c>
      <c r="C24" s="13" t="n">
        <v>412</v>
      </c>
      <c r="D24" s="13" t="n">
        <v>545</v>
      </c>
      <c r="E24" s="13" t="n">
        <v>926</v>
      </c>
      <c r="F24" s="13" t="n">
        <v>1075</v>
      </c>
      <c r="G24" s="13" t="n">
        <v>1169</v>
      </c>
      <c r="H24" s="13" t="n">
        <v>1107</v>
      </c>
    </row>
    <row r="25">
      <c r="B25" s="29" t="inlineStr">
        <is>
          <t>Total Current Liabilities</t>
        </is>
      </c>
      <c r="C25" s="30">
        <f>SUM(C22:C24)</f>
        <v/>
      </c>
      <c r="D25" s="30">
        <f>SUM(D22:D24)</f>
        <v/>
      </c>
      <c r="E25" s="30">
        <f>SUM(E22:E24)</f>
        <v/>
      </c>
      <c r="F25" s="30">
        <f>SUM(F22:F24)</f>
        <v/>
      </c>
      <c r="G25" s="30">
        <f>SUM(G22:G24)</f>
        <v/>
      </c>
      <c r="H25" s="30">
        <f>SUM(H22:H24)</f>
        <v/>
      </c>
    </row>
    <row r="27">
      <c r="B27" s="26" t="inlineStr">
        <is>
          <t>Non-Current Liabilities:</t>
        </is>
      </c>
    </row>
    <row r="28">
      <c r="B28" s="24" t="inlineStr">
        <is>
          <t>Lease Liabilities (Non-Current)</t>
        </is>
      </c>
      <c r="C28" s="13" t="n">
        <v>612</v>
      </c>
      <c r="D28" s="13" t="n">
        <v>633</v>
      </c>
      <c r="E28" s="13" t="n">
        <v>692</v>
      </c>
      <c r="F28" s="13" t="n">
        <v>862</v>
      </c>
      <c r="G28" s="13" t="n">
        <v>1154</v>
      </c>
      <c r="H28" s="13" t="n">
        <v>1510</v>
      </c>
    </row>
    <row r="29">
      <c r="B29" s="24" t="inlineStr">
        <is>
          <t>Other Non-Current Liabilities</t>
        </is>
      </c>
      <c r="C29" s="13" t="n">
        <v>98</v>
      </c>
      <c r="D29" s="13" t="n">
        <v>111</v>
      </c>
      <c r="E29" s="13" t="n">
        <v>115</v>
      </c>
      <c r="F29" s="13" t="n">
        <v>367</v>
      </c>
      <c r="G29" s="13" t="n">
        <v>140</v>
      </c>
      <c r="H29" s="13" t="n">
        <v>145</v>
      </c>
    </row>
    <row r="30">
      <c r="B30" s="22" t="inlineStr">
        <is>
          <t>Total Liabilities</t>
        </is>
      </c>
      <c r="C30" s="25">
        <f>C25+C28+C29</f>
        <v/>
      </c>
      <c r="D30" s="25">
        <f>D25+D28+D29</f>
        <v/>
      </c>
      <c r="E30" s="25">
        <f>E25+E28+E29</f>
        <v/>
      </c>
      <c r="F30" s="25">
        <f>F25+F28+F29</f>
        <v/>
      </c>
      <c r="G30" s="25">
        <f>G25+G28+G29</f>
        <v/>
      </c>
      <c r="H30" s="25">
        <f>H25+H28+H29</f>
        <v/>
      </c>
    </row>
    <row r="31">
      <c r="B31" s="5" t="inlineStr">
        <is>
          <t>PATRIMONIO</t>
        </is>
      </c>
      <c r="C31" s="6" t="n"/>
      <c r="D31" s="6" t="n"/>
      <c r="E31" s="6" t="n"/>
      <c r="F31" s="6" t="n"/>
      <c r="G31" s="6" t="n"/>
      <c r="H31" s="6" t="n"/>
    </row>
    <row r="32">
      <c r="B32" s="31" t="inlineStr">
        <is>
          <t>Total Stockholders Equity</t>
        </is>
      </c>
      <c r="C32" s="23" t="n">
        <v>1952</v>
      </c>
      <c r="D32" s="23" t="n">
        <v>2558</v>
      </c>
      <c r="E32" s="23" t="n">
        <v>2740</v>
      </c>
      <c r="F32" s="23" t="n">
        <v>3148</v>
      </c>
      <c r="G32" s="23" t="n">
        <v>3986</v>
      </c>
      <c r="H32" s="23" t="n">
        <v>4887</v>
      </c>
    </row>
    <row r="33">
      <c r="B33" s="29" t="inlineStr">
        <is>
          <t>Total Liabilities + Equity</t>
        </is>
      </c>
      <c r="C33" s="30">
        <f>C30+C32</f>
        <v/>
      </c>
      <c r="D33" s="30">
        <f>D30+D32</f>
        <v/>
      </c>
      <c r="E33" s="30">
        <f>E30+E32</f>
        <v/>
      </c>
      <c r="F33" s="30">
        <f>F30+F32</f>
        <v/>
      </c>
      <c r="G33" s="30">
        <f>G30+G32</f>
        <v/>
      </c>
      <c r="H33" s="30">
        <f>H30+H32</f>
        <v/>
      </c>
    </row>
    <row r="35">
      <c r="B35" s="5" t="inlineStr">
        <is>
          <t>SUPLEMENTARIOS</t>
        </is>
      </c>
      <c r="C35" s="6" t="n"/>
      <c r="D35" s="6" t="n"/>
      <c r="E35" s="6" t="n"/>
      <c r="F35" s="6" t="n"/>
      <c r="G35" s="6" t="n"/>
      <c r="H35" s="6" t="n"/>
    </row>
    <row r="36">
      <c r="B36" s="24" t="inlineStr">
        <is>
          <t>Cash + Short-Term Investments</t>
        </is>
      </c>
      <c r="C36" s="14">
        <f>C7</f>
        <v/>
      </c>
      <c r="D36" s="14">
        <f>D7</f>
        <v/>
      </c>
      <c r="E36" s="14">
        <f>E7</f>
        <v/>
      </c>
      <c r="F36" s="14">
        <f>F7</f>
        <v/>
      </c>
      <c r="G36" s="14">
        <f>G7</f>
        <v/>
      </c>
      <c r="H36" s="14">
        <f>H7</f>
        <v/>
      </c>
    </row>
    <row r="37">
      <c r="B37" s="24" t="inlineStr">
        <is>
          <t>Total Debt</t>
        </is>
      </c>
      <c r="C37" s="13" t="n">
        <v>0</v>
      </c>
      <c r="D37" s="13" t="n">
        <v>0</v>
      </c>
      <c r="E37" s="13" t="n">
        <v>0</v>
      </c>
      <c r="F37" s="13" t="n">
        <v>0</v>
      </c>
      <c r="G37" s="13" t="n">
        <v>0</v>
      </c>
      <c r="H37" s="13" t="n">
        <v>0</v>
      </c>
    </row>
    <row r="38">
      <c r="B38" s="32" t="inlineStr">
        <is>
          <t>Net Debt</t>
        </is>
      </c>
      <c r="C38" s="33">
        <f>C37+C23+C28-C36</f>
        <v/>
      </c>
      <c r="D38" s="33">
        <f>D37+D23+D28-D36</f>
        <v/>
      </c>
      <c r="E38" s="33">
        <f>E37+E23+E28-E36</f>
        <v/>
      </c>
      <c r="F38" s="33">
        <f>F37+F23+F28-F36</f>
        <v/>
      </c>
      <c r="G38" s="33">
        <f>G37+G23+G28-G36</f>
        <v/>
      </c>
      <c r="H38" s="33">
        <f>H37+H23+H28-H36</f>
        <v/>
      </c>
    </row>
    <row r="39">
      <c r="B39" s="24" t="inlineStr">
        <is>
          <t>Book Value per Share</t>
        </is>
      </c>
      <c r="C39" s="16">
        <f>C32/'2. IS'!C29</f>
        <v/>
      </c>
      <c r="D39" s="16">
        <f>D32/'2. IS'!D29</f>
        <v/>
      </c>
      <c r="E39" s="16">
        <f>E32/'2. IS'!E29</f>
        <v/>
      </c>
      <c r="F39" s="16">
        <f>F32/'2. IS'!F29</f>
        <v/>
      </c>
      <c r="G39" s="16">
        <f>G32/'2. IS'!G29</f>
        <v/>
      </c>
      <c r="H39" s="16">
        <f>H32/'2. IS'!H29</f>
        <v/>
      </c>
    </row>
    <row r="41">
      <c r="B41" s="28" t="inlineStr">
        <is>
          <t>Source: SEC 10-K (Lululemon Athletica Inc.) | DCE Holdings | 03-May-2026</t>
        </is>
      </c>
    </row>
  </sheetData>
  <mergeCells count="3">
    <mergeCell ref="B3:H3"/>
    <mergeCell ref="B2:H2"/>
    <mergeCell ref="B41:H4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B2:H24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2">
      <c r="B2" s="19" t="inlineStr">
        <is>
          <t>CASH FLOW STATEMENT — Lululemon Athletica Inc.</t>
        </is>
      </c>
    </row>
    <row r="3">
      <c r="B3" s="20" t="inlineStr">
        <is>
          <t>En $M USD | Source: 10-K filings (SEC EDGAR)</t>
        </is>
      </c>
    </row>
    <row r="4">
      <c r="B4" s="21" t="inlineStr">
        <is>
          <t>CONCEPTO ($M)</t>
        </is>
      </c>
      <c r="C4" s="21" t="inlineStr">
        <is>
          <t>FY 2020</t>
        </is>
      </c>
      <c r="D4" s="21" t="inlineStr">
        <is>
          <t>FY 2021</t>
        </is>
      </c>
      <c r="E4" s="21" t="inlineStr">
        <is>
          <t>FY 2022</t>
        </is>
      </c>
      <c r="F4" s="21" t="inlineStr">
        <is>
          <t>FY 2023</t>
        </is>
      </c>
      <c r="G4" s="21" t="inlineStr">
        <is>
          <t>FY 2024</t>
        </is>
      </c>
      <c r="H4" s="21" t="inlineStr">
        <is>
          <t>FY 2025</t>
        </is>
      </c>
    </row>
    <row r="5">
      <c r="B5" s="5" t="inlineStr">
        <is>
          <t>OPERACIONES</t>
        </is>
      </c>
      <c r="C5" s="6" t="n"/>
      <c r="D5" s="6" t="n"/>
      <c r="E5" s="6" t="n"/>
      <c r="F5" s="6" t="n"/>
      <c r="G5" s="6" t="n"/>
      <c r="H5" s="6" t="n"/>
    </row>
    <row r="6">
      <c r="B6" s="24" t="inlineStr">
        <is>
          <t>Net Income</t>
        </is>
      </c>
      <c r="C6" s="13" t="n">
        <v>646</v>
      </c>
      <c r="D6" s="13" t="n">
        <v>589</v>
      </c>
      <c r="E6" s="13" t="n">
        <v>975</v>
      </c>
      <c r="F6" s="13" t="n">
        <v>855</v>
      </c>
      <c r="G6" s="13" t="n">
        <v>1550</v>
      </c>
      <c r="H6" s="13" t="n">
        <v>1686</v>
      </c>
    </row>
    <row r="7">
      <c r="B7" s="24" t="inlineStr">
        <is>
          <t>Depreciation and Amortization</t>
        </is>
      </c>
      <c r="C7" s="13" t="n">
        <v>162</v>
      </c>
      <c r="D7" s="13" t="n">
        <v>185</v>
      </c>
      <c r="E7" s="13" t="n">
        <v>224</v>
      </c>
      <c r="F7" s="13" t="n">
        <v>292</v>
      </c>
      <c r="G7" s="13" t="n">
        <v>322</v>
      </c>
      <c r="H7" s="13" t="n">
        <v>414</v>
      </c>
    </row>
    <row r="8">
      <c r="B8" s="24" t="inlineStr">
        <is>
          <t>Impairments</t>
        </is>
      </c>
      <c r="C8" s="13" t="n">
        <v>0</v>
      </c>
      <c r="D8" s="13" t="n">
        <v>0</v>
      </c>
      <c r="E8" s="13" t="n">
        <v>0</v>
      </c>
      <c r="F8" s="13" t="n">
        <v>408</v>
      </c>
      <c r="G8" s="13" t="n">
        <v>0</v>
      </c>
      <c r="H8" s="13" t="n">
        <v>0</v>
      </c>
    </row>
    <row r="9">
      <c r="B9" s="24" t="inlineStr">
        <is>
          <t>Stock-Based Compensation</t>
        </is>
      </c>
      <c r="C9" s="13" t="n">
        <v>46</v>
      </c>
      <c r="D9" s="13" t="n">
        <v>51</v>
      </c>
      <c r="E9" s="13" t="n">
        <v>69</v>
      </c>
      <c r="F9" s="13" t="n">
        <v>78</v>
      </c>
      <c r="G9" s="13" t="n">
        <v>94</v>
      </c>
      <c r="H9" s="13" t="n">
        <v>50</v>
      </c>
    </row>
    <row r="10">
      <c r="B10" s="24" t="inlineStr">
        <is>
          <t>Other Adjustments</t>
        </is>
      </c>
      <c r="C10" s="13" t="n">
        <v>10</v>
      </c>
      <c r="D10" s="13" t="n">
        <v>-5</v>
      </c>
      <c r="E10" s="13" t="n">
        <v>41</v>
      </c>
      <c r="F10" s="13" t="n">
        <v>-39</v>
      </c>
      <c r="G10" s="13" t="n">
        <v>-26</v>
      </c>
      <c r="H10" s="13" t="n">
        <v>30</v>
      </c>
    </row>
    <row r="11">
      <c r="B11" s="24" t="inlineStr">
        <is>
          <t>Changes in Working Capital</t>
        </is>
      </c>
      <c r="C11" s="13" t="n">
        <v>-191</v>
      </c>
      <c r="D11" s="13" t="n">
        <v>-284</v>
      </c>
      <c r="E11" s="13" t="n">
        <v>-311</v>
      </c>
      <c r="F11" s="13" t="n">
        <v>-505</v>
      </c>
      <c r="G11" s="13" t="n">
        <v>-147</v>
      </c>
      <c r="H11" s="13" t="n">
        <v>-577</v>
      </c>
    </row>
    <row r="12">
      <c r="B12" s="22" t="inlineStr">
        <is>
          <t>Cash from Operations (CFO)</t>
        </is>
      </c>
      <c r="C12" s="25">
        <f>SUM(C6:C11)</f>
        <v/>
      </c>
      <c r="D12" s="25">
        <f>SUM(D6:D11)</f>
        <v/>
      </c>
      <c r="E12" s="25">
        <f>SUM(E6:E11)</f>
        <v/>
      </c>
      <c r="F12" s="25">
        <f>SUM(F6:F11)</f>
        <v/>
      </c>
      <c r="G12" s="25">
        <f>SUM(G6:G11)</f>
        <v/>
      </c>
      <c r="H12" s="25">
        <f>SUM(H6:H11)</f>
        <v/>
      </c>
    </row>
    <row r="13">
      <c r="B13" s="5" t="inlineStr">
        <is>
          <t>INVERSIÓN</t>
        </is>
      </c>
      <c r="C13" s="6" t="n"/>
      <c r="D13" s="6" t="n"/>
      <c r="E13" s="6" t="n"/>
      <c r="F13" s="6" t="n"/>
      <c r="G13" s="6" t="n"/>
      <c r="H13" s="6" t="n"/>
    </row>
    <row r="14">
      <c r="B14" s="24" t="inlineStr">
        <is>
          <t>Capital Expenditures</t>
        </is>
      </c>
      <c r="C14" s="13" t="n">
        <v>-283</v>
      </c>
      <c r="D14" s="13" t="n">
        <v>-334</v>
      </c>
      <c r="E14" s="13" t="n">
        <v>-379</v>
      </c>
      <c r="F14" s="13" t="n">
        <v>-670</v>
      </c>
      <c r="G14" s="13" t="n">
        <v>-630</v>
      </c>
      <c r="H14" s="13" t="n">
        <v>-681</v>
      </c>
    </row>
    <row r="15">
      <c r="B15" s="24" t="inlineStr">
        <is>
          <t>Other Investing</t>
        </is>
      </c>
      <c r="C15" s="13" t="n">
        <v>4</v>
      </c>
      <c r="D15" s="13" t="n">
        <v>0</v>
      </c>
      <c r="E15" s="13" t="n">
        <v>0</v>
      </c>
      <c r="F15" s="13" t="n">
        <v>10</v>
      </c>
      <c r="G15" s="13" t="n">
        <v>2</v>
      </c>
      <c r="H15" s="13" t="n">
        <v>0</v>
      </c>
    </row>
    <row r="16">
      <c r="B16" s="22" t="inlineStr">
        <is>
          <t>Cash from Investing (CFI)</t>
        </is>
      </c>
      <c r="C16" s="25">
        <f>SUM(C14:C15)</f>
        <v/>
      </c>
      <c r="D16" s="25">
        <f>SUM(D14:D15)</f>
        <v/>
      </c>
      <c r="E16" s="25">
        <f>SUM(E14:E15)</f>
        <v/>
      </c>
      <c r="F16" s="25">
        <f>SUM(F14:F15)</f>
        <v/>
      </c>
      <c r="G16" s="25">
        <f>SUM(G14:G15)</f>
        <v/>
      </c>
      <c r="H16" s="25">
        <f>SUM(H14:H15)</f>
        <v/>
      </c>
    </row>
    <row r="17">
      <c r="B17" s="5" t="inlineStr">
        <is>
          <t>FINANCIAMIENTO</t>
        </is>
      </c>
      <c r="C17" s="6" t="n"/>
      <c r="D17" s="6" t="n"/>
      <c r="E17" s="6" t="n"/>
      <c r="F17" s="6" t="n"/>
      <c r="G17" s="6" t="n"/>
      <c r="H17" s="6" t="n"/>
    </row>
    <row r="18">
      <c r="B18" s="24" t="inlineStr">
        <is>
          <t>Repurchases of Common Stock</t>
        </is>
      </c>
      <c r="C18" s="13" t="n">
        <v>-173</v>
      </c>
      <c r="D18" s="13" t="n">
        <v>-598</v>
      </c>
      <c r="E18" s="13" t="n">
        <v>-443</v>
      </c>
      <c r="F18" s="13" t="n">
        <v>-444</v>
      </c>
      <c r="G18" s="13" t="n">
        <v>-559</v>
      </c>
      <c r="H18" s="13" t="n">
        <v>-1180</v>
      </c>
    </row>
    <row r="19">
      <c r="B19" s="24" t="inlineStr">
        <is>
          <t>Other Financing</t>
        </is>
      </c>
      <c r="C19" s="13" t="n">
        <v>-4</v>
      </c>
      <c r="D19" s="13" t="n">
        <v>-9</v>
      </c>
      <c r="E19" s="13" t="n">
        <v>-35</v>
      </c>
      <c r="F19" s="13" t="n">
        <v>-78</v>
      </c>
      <c r="G19" s="13" t="n">
        <v>-33</v>
      </c>
      <c r="H19" s="13" t="n">
        <v>-39</v>
      </c>
    </row>
    <row r="20">
      <c r="B20" s="22" t="inlineStr">
        <is>
          <t>Cash from Financing (CFF)</t>
        </is>
      </c>
      <c r="C20" s="25">
        <f>SUM(C18:C19)</f>
        <v/>
      </c>
      <c r="D20" s="25">
        <f>SUM(D18:D19)</f>
        <v/>
      </c>
      <c r="E20" s="25">
        <f>SUM(E18:E19)</f>
        <v/>
      </c>
      <c r="F20" s="25">
        <f>SUM(F18:F19)</f>
        <v/>
      </c>
      <c r="G20" s="25">
        <f>SUM(G18:G19)</f>
        <v/>
      </c>
      <c r="H20" s="25">
        <f>SUM(H18:H19)</f>
        <v/>
      </c>
    </row>
    <row r="21">
      <c r="B21" s="24" t="inlineStr">
        <is>
          <t>Net Change in Cash</t>
        </is>
      </c>
      <c r="C21" s="14">
        <f>C12+C16+C20</f>
        <v/>
      </c>
      <c r="D21" s="14">
        <f>D12+D16+D20</f>
        <v/>
      </c>
      <c r="E21" s="14">
        <f>E12+E16+E20</f>
        <v/>
      </c>
      <c r="F21" s="14">
        <f>F12+F16+F20</f>
        <v/>
      </c>
      <c r="G21" s="14">
        <f>G12+G16+G20</f>
        <v/>
      </c>
      <c r="H21" s="14">
        <f>H12+H16+H20</f>
        <v/>
      </c>
    </row>
    <row r="22">
      <c r="B22" s="29" t="inlineStr">
        <is>
          <t>Free Cash Flow (FCF)</t>
        </is>
      </c>
      <c r="C22" s="30">
        <f>C12+C14</f>
        <v/>
      </c>
      <c r="D22" s="30">
        <f>D12+D14</f>
        <v/>
      </c>
      <c r="E22" s="30">
        <f>E12+E14</f>
        <v/>
      </c>
      <c r="F22" s="30">
        <f>F12+F14</f>
        <v/>
      </c>
      <c r="G22" s="30">
        <f>G12+G14</f>
        <v/>
      </c>
      <c r="H22" s="30">
        <f>H12+H14</f>
        <v/>
      </c>
    </row>
    <row r="24">
      <c r="B24" s="28" t="inlineStr">
        <is>
          <t>Source: SEC 10-K (Lululemon Athletica Inc.) | DCE Holdings | 03-May-2026</t>
        </is>
      </c>
    </row>
  </sheetData>
  <mergeCells count="3">
    <mergeCell ref="B3:H3"/>
    <mergeCell ref="B24:H24"/>
    <mergeCell ref="B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4" customWidth="1" min="3" max="3"/>
    <col width="14" customWidth="1" min="4" max="4"/>
    <col width="12" customWidth="1" min="5" max="5"/>
    <col width="36" customWidth="1" min="6" max="6"/>
  </cols>
  <sheetData>
    <row r="2">
      <c r="B2" s="19" t="inlineStr">
        <is>
          <t>HEALTH CHECK — Lululemon Athletica Inc.</t>
        </is>
      </c>
    </row>
    <row r="3">
      <c r="B3" s="20" t="inlineStr">
        <is>
          <t>En $M USD | FY2025 baseline</t>
        </is>
      </c>
    </row>
    <row r="4">
      <c r="B4" s="21" t="inlineStr">
        <is>
          <t>MÉTRICA</t>
        </is>
      </c>
      <c r="C4" s="21" t="inlineStr">
        <is>
          <t>Valor</t>
        </is>
      </c>
      <c r="D4" s="21" t="inlineStr">
        <is>
          <t>Umbral</t>
        </is>
      </c>
      <c r="E4" s="21" t="inlineStr">
        <is>
          <t>Estado</t>
        </is>
      </c>
      <c r="F4" s="21" t="inlineStr">
        <is>
          <t>Nota</t>
        </is>
      </c>
    </row>
    <row r="5">
      <c r="B5" s="20" t="inlineStr">
        <is>
          <t>SOLIDEZ FINANCIERA</t>
        </is>
      </c>
      <c r="C5" s="20" t="n"/>
      <c r="D5" s="20" t="n"/>
      <c r="E5" s="20" t="n"/>
      <c r="F5" s="20" t="n"/>
    </row>
    <row r="6">
      <c r="B6" s="24" t="inlineStr">
        <is>
          <t>Total Debt / Equity</t>
        </is>
      </c>
      <c r="C6" s="34">
        <f>0</f>
        <v/>
      </c>
      <c r="D6" s="35" t="inlineStr">
        <is>
          <t>&lt;1.0x</t>
        </is>
      </c>
      <c r="E6" s="36">
        <f>"✓"</f>
        <v/>
      </c>
      <c r="F6" s="10" t="inlineStr">
        <is>
          <t>Zero LT debt</t>
        </is>
      </c>
    </row>
    <row r="7">
      <c r="B7" s="24" t="inlineStr">
        <is>
          <t>Net Debt / EBITDA</t>
        </is>
      </c>
      <c r="C7" s="34">
        <f>'3. BS'!H38/('2. IS'!H13+'2. IS'!H10)</f>
        <v/>
      </c>
      <c r="D7" s="35" t="inlineStr">
        <is>
          <t>&lt;2.0x</t>
        </is>
      </c>
      <c r="E7" s="36">
        <f>IF('3. BS'!H38/('2. IS'!H13+'2. IS'!H10)&lt;2,"✓","✗")</f>
        <v/>
      </c>
      <c r="F7" s="10" t="inlineStr">
        <is>
          <t>Zero debt + leases only</t>
        </is>
      </c>
    </row>
    <row r="8">
      <c r="B8" s="24" t="inlineStr">
        <is>
          <t>Current Ratio</t>
        </is>
      </c>
      <c r="C8" s="34">
        <f>'3. BS'!H11/'3. BS'!H25</f>
        <v/>
      </c>
      <c r="D8" s="35" t="inlineStr">
        <is>
          <t>&gt;1.5x</t>
        </is>
      </c>
      <c r="E8" s="36">
        <f>IF('3. BS'!H11/'3. BS'!H25&gt;1.5,"✓","✗")</f>
        <v/>
      </c>
      <c r="F8" s="10" t="inlineStr">
        <is>
          <t>Strong liquidity</t>
        </is>
      </c>
    </row>
    <row r="9">
      <c r="B9" s="24" t="inlineStr">
        <is>
          <t>Interest Coverage</t>
        </is>
      </c>
      <c r="C9" s="34">
        <f>999</f>
        <v/>
      </c>
      <c r="D9" s="35" t="inlineStr">
        <is>
          <t>&gt;10x</t>
        </is>
      </c>
      <c r="E9" s="36">
        <f>"✓"</f>
        <v/>
      </c>
      <c r="F9" s="10" t="inlineStr">
        <is>
          <t>No interest expense</t>
        </is>
      </c>
    </row>
    <row r="11">
      <c r="B11" s="20" t="inlineStr">
        <is>
          <t>RENTABILIDAD</t>
        </is>
      </c>
      <c r="C11" s="20" t="n"/>
      <c r="D11" s="20" t="n"/>
      <c r="E11" s="20" t="n"/>
      <c r="F11" s="20" t="n"/>
    </row>
    <row r="12">
      <c r="B12" s="24" t="inlineStr">
        <is>
          <t>Operating Margin (FY2025)</t>
        </is>
      </c>
      <c r="C12" s="37">
        <f>'2. IS'!H21</f>
        <v/>
      </c>
      <c r="D12" s="35" t="inlineStr">
        <is>
          <t>&gt;15%</t>
        </is>
      </c>
      <c r="E12" s="36">
        <f>IF('2. IS'!H21&gt;0.15,"✓","✗")</f>
        <v/>
      </c>
      <c r="F12" s="10" t="inlineStr">
        <is>
          <t>Premium athleisure margin</t>
        </is>
      </c>
    </row>
    <row r="13">
      <c r="B13" s="24" t="inlineStr">
        <is>
          <t>FCF Margin (FY2025)</t>
        </is>
      </c>
      <c r="C13" s="37">
        <f>'4. CF'!H22/'2. IS'!H5</f>
        <v/>
      </c>
      <c r="D13" s="35" t="inlineStr">
        <is>
          <t>&gt;10%</t>
        </is>
      </c>
      <c r="E13" s="36">
        <f>IF('4. CF'!H22/'2. IS'!H5&gt;0.10,"✓","✗")</f>
        <v/>
      </c>
      <c r="F13" s="10" t="inlineStr">
        <is>
          <t>After CapEx</t>
        </is>
      </c>
    </row>
    <row r="14">
      <c r="B14" s="24" t="inlineStr">
        <is>
          <t>ROIC (FY2025)</t>
        </is>
      </c>
      <c r="C14" s="37">
        <f>'11. ROIC'!H14</f>
        <v/>
      </c>
      <c r="D14" s="35" t="inlineStr">
        <is>
          <t>&gt;15%</t>
        </is>
      </c>
      <c r="E14" s="36">
        <f>IF(ISNUMBER('11. ROIC'!H14),IF('11. ROIC'!H14&gt;0.15,"✓","✗"),"≈")</f>
        <v/>
      </c>
      <c r="F14" s="10" t="inlineStr">
        <is>
          <t>Versus ~10.25% WACC</t>
        </is>
      </c>
    </row>
    <row r="15">
      <c r="B15" s="24" t="inlineStr">
        <is>
          <t>ROIC &gt; WACC</t>
        </is>
      </c>
      <c r="C15" s="37">
        <f>'11. ROIC'!H14-'10. EPV'!C13</f>
        <v/>
      </c>
      <c r="D15" s="35" t="inlineStr">
        <is>
          <t>&gt;0</t>
        </is>
      </c>
      <c r="E15" s="36">
        <f>IF(ISNUMBER('11. ROIC'!H14),IF('11. ROIC'!H14-'10. EPV'!C13&gt;0,"✓","✗"),"≈")</f>
        <v/>
      </c>
      <c r="F15" s="10" t="inlineStr">
        <is>
          <t>Spread vs WACC</t>
        </is>
      </c>
    </row>
    <row r="17">
      <c r="B17" s="20" t="inlineStr">
        <is>
          <t>CRECIMIENTO</t>
        </is>
      </c>
      <c r="C17" s="20" t="n"/>
      <c r="D17" s="20" t="n"/>
      <c r="E17" s="20" t="n"/>
      <c r="F17" s="20" t="n"/>
    </row>
    <row r="18">
      <c r="B18" s="24" t="inlineStr">
        <is>
          <t>Revenue CAGR 5yr (FY2020→FY2025)</t>
        </is>
      </c>
      <c r="C18" s="37">
        <f>('2. IS'!H5/'2. IS'!C5)^(1/5)-1</f>
        <v/>
      </c>
      <c r="D18" s="35" t="inlineStr">
        <is>
          <t>&gt;10%</t>
        </is>
      </c>
      <c r="E18" s="36">
        <f>IF(('2. IS'!H5/'2. IS'!C5)^(1/5)-1&gt;0.10,"✓","✗")</f>
        <v/>
      </c>
      <c r="F18" s="10" t="inlineStr">
        <is>
          <t>Compounding athleisure</t>
        </is>
      </c>
    </row>
    <row r="19">
      <c r="B19" s="24" t="inlineStr">
        <is>
          <t>EBITDA Growth YoY</t>
        </is>
      </c>
      <c r="C19" s="37">
        <f>(('2. IS'!H13+'2. IS'!H10)/('2. IS'!G13+'2. IS'!G10))-1</f>
        <v/>
      </c>
      <c r="D19" s="35" t="inlineStr">
        <is>
          <t>&gt;5%</t>
        </is>
      </c>
      <c r="E19" s="36">
        <f>IF(((('2. IS'!H13+'2. IS'!H10)/('2. IS'!G13+'2. IS'!G10))-1)&gt;0.05,"✓","✗")</f>
        <v/>
      </c>
      <c r="F19" s="10" t="inlineStr">
        <is>
          <t>FY2025 vs FY2024</t>
        </is>
      </c>
    </row>
    <row r="20">
      <c r="B20" s="24" t="inlineStr">
        <is>
          <t>FCF CAGR 3yr</t>
        </is>
      </c>
      <c r="C20" s="37">
        <f>('4. CF'!H22/'4. CF'!E22)^(1/3)-1</f>
        <v/>
      </c>
      <c r="D20" s="35" t="inlineStr">
        <is>
          <t>&gt;5%</t>
        </is>
      </c>
      <c r="E20" s="36">
        <f>IF(('4. CF'!H22/'4. CF'!E22)^(1/3)-1&gt;0.05,"✓","✗")</f>
        <v/>
      </c>
      <c r="F20" s="10" t="inlineStr">
        <is>
          <t>Trailing 3-year</t>
        </is>
      </c>
    </row>
    <row r="22">
      <c r="B22" s="20" t="inlineStr">
        <is>
          <t>ESPECÍFICOS APPAREL / ATHLEISURE</t>
        </is>
      </c>
      <c r="C22" s="20" t="n"/>
      <c r="D22" s="20" t="n"/>
      <c r="E22" s="20" t="n"/>
      <c r="F22" s="20" t="n"/>
    </row>
    <row r="23">
      <c r="B23" s="24" t="inlineStr">
        <is>
          <t>SBC % of Revenue (FY2025)</t>
        </is>
      </c>
      <c r="C23" s="37">
        <f>'2. IS'!H26</f>
        <v/>
      </c>
      <c r="D23" s="35" t="inlineStr">
        <is>
          <t>&lt;2%</t>
        </is>
      </c>
      <c r="E23" s="36">
        <f>IF('2. IS'!H26&lt;0.02,"✓","✗")</f>
        <v/>
      </c>
      <c r="F23" s="10" t="inlineStr">
        <is>
          <t>Compensación moderada</t>
        </is>
      </c>
    </row>
    <row r="24">
      <c r="B24" s="24" t="inlineStr">
        <is>
          <t>CapEx % of Revenue</t>
        </is>
      </c>
      <c r="C24" s="37">
        <f>ABS('4. CF'!H14)/'2. IS'!H5</f>
        <v/>
      </c>
      <c r="D24" s="35" t="inlineStr">
        <is>
          <t>&lt;7%</t>
        </is>
      </c>
      <c r="E24" s="36">
        <f>IF(ABS('4. CF'!H14)/'2. IS'!H5&lt;0.07,"✓","✗")</f>
        <v/>
      </c>
      <c r="F24" s="10" t="inlineStr">
        <is>
          <t>Store expansion</t>
        </is>
      </c>
    </row>
    <row r="25">
      <c r="B25" s="24" t="inlineStr">
        <is>
          <t>Inventory Days</t>
        </is>
      </c>
      <c r="C25" s="38">
        <f>'3. BS'!H9/('2. IS'!H6/365)</f>
        <v/>
      </c>
      <c r="D25" s="35" t="inlineStr">
        <is>
          <t>&lt;140 days</t>
        </is>
      </c>
      <c r="E25" s="36">
        <f>IF('3. BS'!H9/('2. IS'!H6/365)&lt;140,"✓","✗")</f>
        <v/>
      </c>
      <c r="F25" s="10" t="inlineStr">
        <is>
          <t>Working capital efficiency</t>
        </is>
      </c>
    </row>
    <row r="26">
      <c r="B26" s="24" t="inlineStr">
        <is>
          <t>Gross Margin (FY2025)</t>
        </is>
      </c>
      <c r="C26" s="37">
        <f>'2. IS'!H7/'2. IS'!H5</f>
        <v/>
      </c>
      <c r="D26" s="35" t="inlineStr">
        <is>
          <t>&gt;50%</t>
        </is>
      </c>
      <c r="E26" s="36">
        <f>IF('2. IS'!H7/'2. IS'!H5&gt;0.50,"✓","✗")</f>
        <v/>
      </c>
      <c r="F26" s="10" t="inlineStr">
        <is>
          <t>Premium pricing power</t>
        </is>
      </c>
    </row>
    <row r="28">
      <c r="B28" s="28" t="inlineStr">
        <is>
          <t>Source: SEC 10-K + Press Release | DCE Holdings | 03-May-2026</t>
        </is>
      </c>
    </row>
  </sheetData>
  <mergeCells count="3">
    <mergeCell ref="B2:F2"/>
    <mergeCell ref="B28:F28"/>
    <mergeCell ref="B3:F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75623"/>
    <outlinePr summaryBelow="1" summaryRight="1"/>
    <pageSetUpPr/>
  </sheetPr>
  <dimension ref="B2:G35"/>
  <sheetViews>
    <sheetView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s="19" t="inlineStr">
        <is>
          <t>CAPITALIZACIÓN DE MARKETING (proxy S&amp;M) — Lululemon Athletica Inc. | Vida Útil: 3 Años</t>
        </is>
      </c>
    </row>
    <row r="4">
      <c r="B4" s="5" t="inlineStr">
        <is>
          <t>PARÁMETROS</t>
        </is>
      </c>
      <c r="C4" s="6" t="n"/>
      <c r="D4" s="6" t="n"/>
      <c r="E4" s="6" t="n"/>
      <c r="F4" s="6" t="n"/>
      <c r="G4" s="6" t="n"/>
    </row>
    <row r="5">
      <c r="B5" s="7" t="inlineStr">
        <is>
          <t>Vida Útil (años)</t>
        </is>
      </c>
      <c r="C5" s="39" t="n">
        <v>3</v>
      </c>
    </row>
    <row r="6">
      <c r="B6" s="7" t="inlineStr">
        <is>
          <t>Proxy S&amp;M</t>
        </is>
      </c>
      <c r="C6" s="8" t="inlineStr">
        <is>
          <t>Marketing/Brand Spend dentro de SG&amp;A (~3.3% Revenue)</t>
        </is>
      </c>
    </row>
    <row r="7">
      <c r="B7" s="7" t="inlineStr">
        <is>
          <t>Nota SBC</t>
        </is>
      </c>
      <c r="C7" s="8" t="inlineStr">
        <is>
          <t>SBC ya incluido en SG&amp;A — Case A (no se ajusta nuevamente)</t>
        </is>
      </c>
    </row>
    <row r="8">
      <c r="B8" s="7" t="inlineStr">
        <is>
          <t>Histórico FY2019 (estimado)</t>
        </is>
      </c>
      <c r="C8" s="13" t="n">
        <v>115</v>
      </c>
    </row>
    <row r="9">
      <c r="B9" s="7" t="inlineStr">
        <is>
          <t>Histórico FY2020 (estimado)</t>
        </is>
      </c>
      <c r="C9" s="13" t="n">
        <v>130</v>
      </c>
    </row>
    <row r="11">
      <c r="B11" s="5" t="inlineStr">
        <is>
          <t>GASTO EN MARKETING POR AÑO — INPUTS</t>
        </is>
      </c>
      <c r="C11" s="6" t="n"/>
      <c r="D11" s="6" t="n"/>
      <c r="E11" s="6" t="n"/>
      <c r="F11" s="6" t="n"/>
      <c r="G11" s="6" t="n"/>
    </row>
    <row r="12">
      <c r="B12" s="21" t="inlineStr">
        <is>
          <t>Concepto</t>
        </is>
      </c>
      <c r="C12" s="21" t="inlineStr">
        <is>
          <t>FY 2021</t>
        </is>
      </c>
      <c r="D12" s="21" t="inlineStr">
        <is>
          <t>FY 2022</t>
        </is>
      </c>
      <c r="E12" s="21" t="inlineStr">
        <is>
          <t>FY 2023</t>
        </is>
      </c>
      <c r="F12" s="21" t="inlineStr">
        <is>
          <t>FY 2024</t>
        </is>
      </c>
      <c r="G12" s="21" t="inlineStr">
        <is>
          <t>FY 2025</t>
        </is>
      </c>
    </row>
    <row r="13">
      <c r="B13" s="7" t="inlineStr">
        <is>
          <t>Marketing Expense ($M)</t>
        </is>
      </c>
      <c r="C13" s="13" t="n">
        <v>145</v>
      </c>
      <c r="D13" s="13" t="n">
        <v>200</v>
      </c>
      <c r="E13" s="13" t="n">
        <v>265</v>
      </c>
      <c r="F13" s="13" t="n">
        <v>320</v>
      </c>
      <c r="G13" s="13" t="n">
        <v>370</v>
      </c>
    </row>
    <row r="14">
      <c r="B14" s="10" t="inlineStr">
        <is>
          <t>Source: Estimación basada en peer benchmark apparel ~3.3% revenue</t>
        </is>
      </c>
    </row>
    <row r="16">
      <c r="B16" s="5" t="inlineStr">
        <is>
          <t>MATRIZ DE AMORTIZACIÓN POR COHORTE</t>
        </is>
      </c>
      <c r="C16" s="6" t="n"/>
      <c r="D16" s="6" t="n"/>
      <c r="E16" s="6" t="n"/>
      <c r="F16" s="6" t="n"/>
      <c r="G16" s="6" t="n"/>
    </row>
    <row r="17">
      <c r="B17" s="21" t="inlineStr">
        <is>
          <t>Cohorte \ Año Modelo</t>
        </is>
      </c>
      <c r="C17" s="21" t="inlineStr">
        <is>
          <t>FY 2021</t>
        </is>
      </c>
      <c r="D17" s="21" t="inlineStr">
        <is>
          <t>FY 2022</t>
        </is>
      </c>
      <c r="E17" s="21" t="inlineStr">
        <is>
          <t>FY 2023</t>
        </is>
      </c>
      <c r="F17" s="21" t="inlineStr">
        <is>
          <t>FY 2024</t>
        </is>
      </c>
      <c r="G17" s="21" t="inlineStr">
        <is>
          <t>FY 2025</t>
        </is>
      </c>
    </row>
    <row r="18">
      <c r="B18" s="27" t="inlineStr">
        <is>
          <t>FY 2019</t>
        </is>
      </c>
      <c r="C18" s="14">
        <f>C8/$C$5</f>
        <v/>
      </c>
      <c r="D18" s="35" t="inlineStr">
        <is>
          <t>-</t>
        </is>
      </c>
      <c r="E18" s="35" t="inlineStr">
        <is>
          <t>-</t>
        </is>
      </c>
      <c r="F18" s="35" t="inlineStr">
        <is>
          <t>-</t>
        </is>
      </c>
      <c r="G18" s="35" t="inlineStr">
        <is>
          <t>-</t>
        </is>
      </c>
    </row>
    <row r="19">
      <c r="B19" s="27" t="inlineStr">
        <is>
          <t>FY 2020</t>
        </is>
      </c>
      <c r="C19" s="14">
        <f>C9/$C$5</f>
        <v/>
      </c>
      <c r="D19" s="14">
        <f>C9/$C$5</f>
        <v/>
      </c>
      <c r="E19" s="35" t="inlineStr">
        <is>
          <t>-</t>
        </is>
      </c>
      <c r="F19" s="35" t="inlineStr">
        <is>
          <t>-</t>
        </is>
      </c>
      <c r="G19" s="35" t="inlineStr">
        <is>
          <t>-</t>
        </is>
      </c>
    </row>
    <row r="20">
      <c r="B20" s="27" t="inlineStr">
        <is>
          <t>FY 2021</t>
        </is>
      </c>
      <c r="C20" s="14">
        <f>C13/$C$5</f>
        <v/>
      </c>
      <c r="D20" s="14">
        <f>C13/$C$5</f>
        <v/>
      </c>
      <c r="E20" s="14">
        <f>C13/$C$5</f>
        <v/>
      </c>
      <c r="F20" s="35" t="inlineStr">
        <is>
          <t>-</t>
        </is>
      </c>
      <c r="G20" s="35" t="inlineStr">
        <is>
          <t>-</t>
        </is>
      </c>
    </row>
    <row r="21">
      <c r="B21" s="27" t="inlineStr">
        <is>
          <t>FY 2022</t>
        </is>
      </c>
      <c r="C21" s="35" t="inlineStr">
        <is>
          <t>-</t>
        </is>
      </c>
      <c r="D21" s="14">
        <f>D13/$C$5</f>
        <v/>
      </c>
      <c r="E21" s="14">
        <f>D13/$C$5</f>
        <v/>
      </c>
      <c r="F21" s="14">
        <f>D13/$C$5</f>
        <v/>
      </c>
      <c r="G21" s="35" t="inlineStr">
        <is>
          <t>-</t>
        </is>
      </c>
    </row>
    <row r="22">
      <c r="B22" s="27" t="inlineStr">
        <is>
          <t>FY 2023</t>
        </is>
      </c>
      <c r="C22" s="35" t="inlineStr">
        <is>
          <t>-</t>
        </is>
      </c>
      <c r="D22" s="35" t="inlineStr">
        <is>
          <t>-</t>
        </is>
      </c>
      <c r="E22" s="14">
        <f>E13/$C$5</f>
        <v/>
      </c>
      <c r="F22" s="14">
        <f>E13/$C$5</f>
        <v/>
      </c>
      <c r="G22" s="14">
        <f>E13/$C$5</f>
        <v/>
      </c>
    </row>
    <row r="23">
      <c r="B23" s="27" t="inlineStr">
        <is>
          <t>FY 2024</t>
        </is>
      </c>
      <c r="C23" s="35" t="inlineStr">
        <is>
          <t>-</t>
        </is>
      </c>
      <c r="D23" s="35" t="inlineStr">
        <is>
          <t>-</t>
        </is>
      </c>
      <c r="E23" s="35" t="inlineStr">
        <is>
          <t>-</t>
        </is>
      </c>
      <c r="F23" s="14">
        <f>F13/$C$5</f>
        <v/>
      </c>
      <c r="G23" s="14">
        <f>F13/$C$5</f>
        <v/>
      </c>
    </row>
    <row r="24">
      <c r="B24" s="27" t="inlineStr">
        <is>
          <t>FY 2025</t>
        </is>
      </c>
      <c r="C24" s="35" t="inlineStr">
        <is>
          <t>-</t>
        </is>
      </c>
      <c r="D24" s="35" t="inlineStr">
        <is>
          <t>-</t>
        </is>
      </c>
      <c r="E24" s="35" t="inlineStr">
        <is>
          <t>-</t>
        </is>
      </c>
      <c r="F24" s="35" t="inlineStr">
        <is>
          <t>-</t>
        </is>
      </c>
      <c r="G24" s="14">
        <f>G13/$C$5</f>
        <v/>
      </c>
    </row>
    <row r="25">
      <c r="B25" s="40" t="inlineStr">
        <is>
          <t>Economic Amortization (Total)</t>
        </is>
      </c>
      <c r="C25" s="30">
        <f>SUM(C18:C24)</f>
        <v/>
      </c>
      <c r="D25" s="30">
        <f>SUM(D18:D24)</f>
        <v/>
      </c>
      <c r="E25" s="30">
        <f>SUM(E18:E24)</f>
        <v/>
      </c>
      <c r="F25" s="30">
        <f>SUM(F18:F24)</f>
        <v/>
      </c>
      <c r="G25" s="30">
        <f>SUM(G18:G24)</f>
        <v/>
      </c>
    </row>
    <row r="27">
      <c r="B27" s="5" t="inlineStr">
        <is>
          <t>RESUMEN S&amp;M CAPITALIZACIÓN</t>
        </is>
      </c>
      <c r="C27" s="6" t="n"/>
      <c r="D27" s="6" t="n"/>
      <c r="E27" s="6" t="n"/>
      <c r="F27" s="6" t="n"/>
      <c r="G27" s="6" t="n"/>
    </row>
    <row r="28">
      <c r="B28" s="21" t="inlineStr">
        <is>
          <t>Concepto</t>
        </is>
      </c>
      <c r="C28" s="21" t="inlineStr">
        <is>
          <t>FY 2021</t>
        </is>
      </c>
      <c r="D28" s="21" t="inlineStr">
        <is>
          <t>FY 2022</t>
        </is>
      </c>
      <c r="E28" s="21" t="inlineStr">
        <is>
          <t>FY 2023</t>
        </is>
      </c>
      <c r="F28" s="21" t="inlineStr">
        <is>
          <t>FY 2024</t>
        </is>
      </c>
      <c r="G28" s="21" t="inlineStr">
        <is>
          <t>FY 2025</t>
        </is>
      </c>
    </row>
    <row r="29">
      <c r="B29" s="41" t="inlineStr">
        <is>
          <t>Gasto Marketing (Total)</t>
        </is>
      </c>
      <c r="C29" s="33">
        <f>C13</f>
        <v/>
      </c>
      <c r="D29" s="33">
        <f>D13</f>
        <v/>
      </c>
      <c r="E29" s="33">
        <f>E13</f>
        <v/>
      </c>
      <c r="F29" s="33">
        <f>F13</f>
        <v/>
      </c>
      <c r="G29" s="33">
        <f>G13</f>
        <v/>
      </c>
    </row>
    <row r="30">
      <c r="B30" s="7" t="inlineStr">
        <is>
          <t>Economic Amortization</t>
        </is>
      </c>
      <c r="C30" s="14">
        <f>C25</f>
        <v/>
      </c>
      <c r="D30" s="14">
        <f>D25</f>
        <v/>
      </c>
      <c r="E30" s="14">
        <f>E25</f>
        <v/>
      </c>
      <c r="F30" s="14">
        <f>F25</f>
        <v/>
      </c>
      <c r="G30" s="14">
        <f>G25</f>
        <v/>
      </c>
    </row>
    <row r="31">
      <c r="B31" s="41" t="inlineStr">
        <is>
          <t>S&amp;M Growth Expense</t>
        </is>
      </c>
      <c r="C31" s="33">
        <f>C29-C30</f>
        <v/>
      </c>
      <c r="D31" s="33">
        <f>D29-D30</f>
        <v/>
      </c>
      <c r="E31" s="33">
        <f>E29-E30</f>
        <v/>
      </c>
      <c r="F31" s="33">
        <f>F29-F30</f>
        <v/>
      </c>
      <c r="G31" s="33">
        <f>G29-G30</f>
        <v/>
      </c>
    </row>
    <row r="32">
      <c r="B32" s="40" t="inlineStr">
        <is>
          <t>S&amp;M Asset (Unamortized)</t>
        </is>
      </c>
      <c r="C32" s="30">
        <f>C9*0.333333+C13*0.666667</f>
        <v/>
      </c>
      <c r="D32" s="30">
        <f>C13*0.333333+D13*0.666667</f>
        <v/>
      </c>
      <c r="E32" s="30">
        <f>D13*0.333333+E13*0.666667</f>
        <v/>
      </c>
      <c r="F32" s="30">
        <f>E13*0.333333+F13*0.666667</f>
        <v/>
      </c>
      <c r="G32" s="30">
        <f>F13*0.333333+G13*0.666667</f>
        <v/>
      </c>
    </row>
    <row r="33">
      <c r="B33" s="7" t="inlineStr">
        <is>
          <t>Growth Expense % of Marketing</t>
        </is>
      </c>
      <c r="C33" s="15">
        <f>C31/C29</f>
        <v/>
      </c>
      <c r="D33" s="15">
        <f>D31/D29</f>
        <v/>
      </c>
      <c r="E33" s="15">
        <f>E31/E29</f>
        <v/>
      </c>
      <c r="F33" s="15">
        <f>F31/F29</f>
        <v/>
      </c>
      <c r="G33" s="15">
        <f>G31/G29</f>
        <v/>
      </c>
    </row>
    <row r="35">
      <c r="B35" s="28" t="inlineStr">
        <is>
          <t>Source: Marketing estimates derived from 10-K + peer benchmarks | DCE Holdings | 03-May-2026</t>
        </is>
      </c>
    </row>
  </sheetData>
  <mergeCells count="5">
    <mergeCell ref="B2:G2"/>
    <mergeCell ref="C7:G7"/>
    <mergeCell ref="C6:G6"/>
    <mergeCell ref="B14:G14"/>
    <mergeCell ref="B35:G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375623"/>
    <outlinePr summaryBelow="1" summaryRight="1"/>
    <pageSetUpPr/>
  </sheetPr>
  <dimension ref="B2:G23"/>
  <sheetViews>
    <sheetView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s="19" t="inlineStr">
        <is>
          <t>CAPITALIZACIÓN DE R&amp;D — Lululemon Athletica Inc. | Vida Útil: N/A</t>
        </is>
      </c>
    </row>
    <row r="4">
      <c r="B4" s="42" t="inlineStr">
        <is>
          <t>ESTADO: NO APLICA</t>
        </is>
      </c>
      <c r="C4" s="1" t="n"/>
      <c r="D4" s="1" t="n"/>
      <c r="E4" s="1" t="n"/>
      <c r="F4" s="1" t="n"/>
      <c r="G4" s="1" t="n"/>
    </row>
    <row r="6">
      <c r="B6" s="7" t="inlineStr">
        <is>
          <t>Lululemon Athletica Inc. NO reporta un gasto de Research &amp; Development (R&amp;D) separado en su</t>
        </is>
      </c>
    </row>
    <row r="7">
      <c r="B7" s="7" t="inlineStr">
        <is>
          <t>10-K. La compañía describe inversión en producto y diseño dentro de SG&amp;A pero sin desglose</t>
        </is>
      </c>
    </row>
    <row r="8">
      <c r="B8" s="7" t="inlineStr">
        <is>
          <t>cuantitativo. Por tanto, no es posible aplicar el método de capitalización por cohortes a R&amp;D.</t>
        </is>
      </c>
    </row>
    <row r="9">
      <c r="B9" s="7" t="inlineStr"/>
    </row>
    <row r="10">
      <c r="B10" s="7" t="inlineStr">
        <is>
          <t>Implicaciones para el modelo:</t>
        </is>
      </c>
    </row>
    <row r="11">
      <c r="B11" s="7" t="inlineStr">
        <is>
          <t xml:space="preserve">  • R&amp;D Asset = $0 en todas las hojas downstream (NOPAT, ROIC, RV)</t>
        </is>
      </c>
    </row>
    <row r="12">
      <c r="B12" s="7" t="inlineStr">
        <is>
          <t xml:space="preserve">  • La inversión en producto/diseño queda implícita dentro del Margen Operativo reportado</t>
        </is>
      </c>
    </row>
    <row r="13">
      <c r="B13" s="7" t="inlineStr">
        <is>
          <t xml:space="preserve">  • La marca/branding (que es la fuente real de moat) se captura via S&amp;M Capitalization</t>
        </is>
      </c>
    </row>
    <row r="14">
      <c r="B14" s="7" t="inlineStr"/>
    </row>
    <row r="15">
      <c r="B15" s="7" t="inlineStr">
        <is>
          <t>Decisión DP2 confirmada por CIO: R&amp;D Capitalization = N/A (no capitalizar).</t>
        </is>
      </c>
    </row>
    <row r="16">
      <c r="B16" s="7" t="inlineStr">
        <is>
          <t>Decisión DP4 confirmada por CIO: R&amp;D Useful Life = N/A.</t>
        </is>
      </c>
    </row>
    <row r="18">
      <c r="B18" s="5" t="inlineStr">
        <is>
          <t>VALORES PARA SHEETS DOWNSTREAM</t>
        </is>
      </c>
      <c r="C18" s="6" t="n"/>
      <c r="D18" s="6" t="n"/>
      <c r="E18" s="6" t="n"/>
      <c r="F18" s="6" t="n"/>
      <c r="G18" s="6" t="n"/>
    </row>
    <row r="19">
      <c r="B19" s="7" t="inlineStr">
        <is>
          <t>R&amp;D Asset (Unamortized)</t>
        </is>
      </c>
      <c r="C19" s="13" t="n">
        <v>0</v>
      </c>
    </row>
    <row r="20">
      <c r="B20" s="7" t="inlineStr">
        <is>
          <t>R&amp;D Economic Amortization</t>
        </is>
      </c>
      <c r="C20" s="13" t="n">
        <v>0</v>
      </c>
    </row>
    <row r="21">
      <c r="B21" s="7" t="inlineStr">
        <is>
          <t>R&amp;D Growth Expense</t>
        </is>
      </c>
      <c r="C21" s="13" t="n">
        <v>0</v>
      </c>
    </row>
    <row r="23">
      <c r="B23" s="28" t="inlineStr">
        <is>
          <t>Source: 10-K Lululemon Athletica Inc. — no separate R&amp;D disclosure | DCE Holdings | 03-May-2026</t>
        </is>
      </c>
    </row>
  </sheetData>
  <mergeCells count="13">
    <mergeCell ref="B2:G2"/>
    <mergeCell ref="B16:G16"/>
    <mergeCell ref="B10:G10"/>
    <mergeCell ref="B14:G14"/>
    <mergeCell ref="B23:G23"/>
    <mergeCell ref="B9:G9"/>
    <mergeCell ref="B8:G8"/>
    <mergeCell ref="B12:G12"/>
    <mergeCell ref="B13:G13"/>
    <mergeCell ref="B15:G15"/>
    <mergeCell ref="B7:G7"/>
    <mergeCell ref="B11:G11"/>
    <mergeCell ref="B6:G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30A0"/>
    <outlinePr summaryBelow="1" summaryRight="1"/>
    <pageSetUpPr/>
  </sheetPr>
  <dimension ref="B2:F44"/>
  <sheetViews>
    <sheetView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4" customWidth="1" min="3" max="3"/>
    <col width="12" customWidth="1" min="4" max="4"/>
    <col width="16" customWidth="1" min="5" max="5"/>
    <col width="50" customWidth="1" min="6" max="6"/>
  </cols>
  <sheetData>
    <row r="2">
      <c r="B2" s="19" t="inlineStr">
        <is>
          <t>REPRODUCTION VALUE — Lululemon Athletica Inc.</t>
        </is>
      </c>
    </row>
    <row r="3">
      <c r="B3" s="20" t="inlineStr">
        <is>
          <t>Reproduction Value: costo estimado de replicar los activos de LULU desde cero (FY2025)</t>
        </is>
      </c>
    </row>
    <row r="5">
      <c r="B5" s="21" t="inlineStr">
        <is>
          <t>CONCEPTO</t>
        </is>
      </c>
      <c r="C5" s="21" t="inlineStr">
        <is>
          <t>Valor Libro ($M)</t>
        </is>
      </c>
      <c r="D5" s="21" t="inlineStr">
        <is>
          <t>% Ajuste</t>
        </is>
      </c>
      <c r="E5" s="21" t="inlineStr">
        <is>
          <t>Reproduction Cost ($M)</t>
        </is>
      </c>
      <c r="F5" s="21" t="inlineStr">
        <is>
          <t>Método / Justificación</t>
        </is>
      </c>
    </row>
    <row r="6">
      <c r="B6" s="5" t="inlineStr">
        <is>
          <t>ACTIVOS TANGIBLES (del balance)</t>
        </is>
      </c>
      <c r="C6" s="6" t="n"/>
      <c r="D6" s="6" t="n"/>
      <c r="E6" s="6" t="n"/>
      <c r="F6" s="6" t="n"/>
    </row>
    <row r="7">
      <c r="B7" s="24" t="inlineStr">
        <is>
          <t>Cash and Cash Equivalents</t>
        </is>
      </c>
      <c r="C7" s="14">
        <f>'3. BS'!H7</f>
        <v/>
      </c>
      <c r="D7" s="43" t="n">
        <v>1</v>
      </c>
      <c r="E7" s="14">
        <f>C7*D7</f>
        <v/>
      </c>
      <c r="F7" s="10" t="inlineStr">
        <is>
          <t>Líquido — 100%</t>
        </is>
      </c>
    </row>
    <row r="8">
      <c r="B8" s="24" t="inlineStr">
        <is>
          <t>Accounts Receivable</t>
        </is>
      </c>
      <c r="C8" s="14">
        <f>'3. BS'!H8</f>
        <v/>
      </c>
      <c r="D8" s="43" t="n">
        <v>0.95</v>
      </c>
      <c r="E8" s="14">
        <f>C8*D8</f>
        <v/>
      </c>
      <c r="F8" s="10" t="inlineStr">
        <is>
          <t>Pequeño AR (DTC), riesgo crédito mínimo</t>
        </is>
      </c>
    </row>
    <row r="9">
      <c r="B9" s="24" t="inlineStr">
        <is>
          <t>Inventories</t>
        </is>
      </c>
      <c r="C9" s="14">
        <f>'3. BS'!H9</f>
        <v/>
      </c>
      <c r="D9" s="43" t="n">
        <v>0.85</v>
      </c>
      <c r="E9" s="14">
        <f>C9*D9</f>
        <v/>
      </c>
      <c r="F9" s="10" t="inlineStr">
        <is>
          <t>Apparel — riesgo obsolescencia moda; 85%</t>
        </is>
      </c>
    </row>
    <row r="10">
      <c r="B10" s="24" t="inlineStr">
        <is>
          <t>Other Current Assets</t>
        </is>
      </c>
      <c r="C10" s="14">
        <f>'3. BS'!H10</f>
        <v/>
      </c>
      <c r="D10" s="43" t="n">
        <v>0.8</v>
      </c>
      <c r="E10" s="14">
        <f>C10*D10</f>
        <v/>
      </c>
      <c r="F10" s="10" t="inlineStr">
        <is>
          <t>Prepaids y otros — 80%</t>
        </is>
      </c>
    </row>
    <row r="11">
      <c r="B11" s="24" t="inlineStr">
        <is>
          <t>Property and Equipment, net</t>
        </is>
      </c>
      <c r="C11" s="14">
        <f>'3. BS'!H14</f>
        <v/>
      </c>
      <c r="D11" s="43" t="n">
        <v>1.1</v>
      </c>
      <c r="E11" s="14">
        <f>C11*D11</f>
        <v/>
      </c>
      <c r="F11" s="10" t="inlineStr">
        <is>
          <t>Stores nuevos cuestan ~10% más que valor libro</t>
        </is>
      </c>
    </row>
    <row r="12">
      <c r="B12" s="20" t="inlineStr">
        <is>
          <t>Subtotal Tangibles</t>
        </is>
      </c>
      <c r="C12" s="44" t="n"/>
      <c r="D12" s="44" t="n"/>
      <c r="E12" s="25">
        <f>SUM(E7:E11)</f>
        <v/>
      </c>
      <c r="F12" s="44" t="n"/>
    </row>
    <row r="14">
      <c r="B14" s="5" t="inlineStr">
        <is>
          <t>ACTIVOS INTANGIBLES (reconstruir desde cero)</t>
        </is>
      </c>
      <c r="C14" s="6" t="n"/>
      <c r="D14" s="6" t="n"/>
      <c r="E14" s="6" t="n"/>
      <c r="F14" s="6" t="n"/>
    </row>
    <row r="15">
      <c r="B15" s="24" t="inlineStr">
        <is>
          <t>Marca / Brand Equity (acumulado mktg 7yr × 60%)</t>
        </is>
      </c>
      <c r="C15" s="13" t="n">
        <v>0</v>
      </c>
      <c r="D15" s="45" t="inlineStr">
        <is>
          <t>N/A</t>
        </is>
      </c>
      <c r="E15" s="14">
        <f>('6. S&amp;M Cap'!C8+'6. S&amp;M Cap'!C9+'6. S&amp;M Cap'!C13+'6. S&amp;M Cap'!D13+'6. S&amp;M Cap'!E13+'6. S&amp;M Cap'!F13+'6. S&amp;M Cap'!G13)*0.6</f>
        <v/>
      </c>
      <c r="F15" s="10" t="inlineStr">
        <is>
          <t>Brand no en BS; reconstruir vía 7yr mktg × 60% efficiency</t>
        </is>
      </c>
    </row>
    <row r="16">
      <c r="B16" s="24" t="inlineStr">
        <is>
          <t>S&amp;M Asset (Unamortized — del modelo)</t>
        </is>
      </c>
      <c r="C16" s="14">
        <f>'6. S&amp;M Cap'!G32</f>
        <v/>
      </c>
      <c r="D16" s="43" t="n">
        <v>1</v>
      </c>
      <c r="E16" s="14">
        <f>C16*D16</f>
        <v/>
      </c>
      <c r="F16" s="10" t="inlineStr">
        <is>
          <t>100% — capitalizado por modelo (cohort matrix)</t>
        </is>
      </c>
    </row>
    <row r="17">
      <c r="B17" s="24" t="inlineStr">
        <is>
          <t>Goodwill</t>
        </is>
      </c>
      <c r="C17" s="14">
        <f>'3. BS'!H16</f>
        <v/>
      </c>
      <c r="D17" s="43" t="n">
        <v>0</v>
      </c>
      <c r="E17" s="14">
        <f>C17*D17</f>
        <v/>
      </c>
      <c r="F17" s="10" t="inlineStr">
        <is>
          <t>DP12: 0% — se reconstruye via S&amp;M Asset (doble conteo)</t>
        </is>
      </c>
    </row>
    <row r="18">
      <c r="B18" s="24" t="inlineStr">
        <is>
          <t>Intangible Assets, net (BS)</t>
        </is>
      </c>
      <c r="C18" s="14">
        <f>'3. BS'!H17</f>
        <v/>
      </c>
      <c r="D18" s="43" t="n">
        <v>0.3</v>
      </c>
      <c r="E18" s="14">
        <f>C18*D18</f>
        <v/>
      </c>
      <c r="F18" s="10" t="inlineStr">
        <is>
          <t>DP13: 30% — residuos Mirror, no replicables</t>
        </is>
      </c>
    </row>
    <row r="19">
      <c r="B19" s="20" t="inlineStr">
        <is>
          <t>Subtotal Intangibles (Reproduction)</t>
        </is>
      </c>
      <c r="C19" s="44" t="n"/>
      <c r="D19" s="44" t="n"/>
      <c r="E19" s="25">
        <f>SUM(E15:E18)</f>
        <v/>
      </c>
      <c r="F19" s="44" t="n"/>
    </row>
    <row r="21">
      <c r="B21" s="5" t="inlineStr">
        <is>
          <t>OTROS ACTIVOS</t>
        </is>
      </c>
      <c r="C21" s="6" t="n"/>
      <c r="D21" s="6" t="n"/>
      <c r="E21" s="6" t="n"/>
      <c r="F21" s="6" t="n"/>
    </row>
    <row r="22">
      <c r="B22" s="24" t="inlineStr">
        <is>
          <t>Right-of-Use Lease Assets</t>
        </is>
      </c>
      <c r="C22" s="14">
        <f>'3. BS'!H15</f>
        <v/>
      </c>
      <c r="D22" s="43" t="n">
        <v>0.75</v>
      </c>
      <c r="E22" s="14">
        <f>C22*D22</f>
        <v/>
      </c>
      <c r="F22" s="10" t="inlineStr">
        <is>
          <t>75% — leases activos pero no transferibles directamente</t>
        </is>
      </c>
    </row>
    <row r="23">
      <c r="B23" s="24" t="inlineStr">
        <is>
          <t>Other Non-Current Assets (incl. DTA)</t>
        </is>
      </c>
      <c r="C23" s="14">
        <f>'3. BS'!H18</f>
        <v/>
      </c>
      <c r="D23" s="43" t="n">
        <v>0.5</v>
      </c>
      <c r="E23" s="14">
        <f>C23*D23</f>
        <v/>
      </c>
      <c r="F23" s="10" t="inlineStr">
        <is>
          <t>DP14: 50% — DTA y otros con realización incierta</t>
        </is>
      </c>
    </row>
    <row r="24">
      <c r="B24" s="20" t="inlineStr">
        <is>
          <t>Subtotal Otros</t>
        </is>
      </c>
      <c r="C24" s="44" t="n"/>
      <c r="D24" s="44" t="n"/>
      <c r="E24" s="25">
        <f>SUM(E22:E23)</f>
        <v/>
      </c>
      <c r="F24" s="44" t="n"/>
    </row>
    <row r="26">
      <c r="B26" s="20" t="inlineStr">
        <is>
          <t>Total Activos (Reproduction)</t>
        </is>
      </c>
      <c r="C26" s="44" t="n"/>
      <c r="D26" s="44" t="n"/>
      <c r="E26" s="25">
        <f>E12+E19+E24</f>
        <v/>
      </c>
      <c r="F26" s="44" t="n"/>
    </row>
    <row r="28">
      <c r="B28" s="5" t="inlineStr">
        <is>
          <t>PASIVOS</t>
        </is>
      </c>
      <c r="C28" s="6" t="n"/>
      <c r="D28" s="6" t="n"/>
      <c r="E28" s="6" t="n"/>
      <c r="F28" s="6" t="n"/>
    </row>
    <row r="29">
      <c r="B29" s="24" t="inlineStr">
        <is>
          <t>Accounts Payable</t>
        </is>
      </c>
      <c r="C29" s="14">
        <f>'3. BS'!H22</f>
        <v/>
      </c>
      <c r="D29" s="43" t="n">
        <v>1</v>
      </c>
      <c r="E29" s="14">
        <f>C29*D29</f>
        <v/>
      </c>
      <c r="F29" s="10" t="inlineStr">
        <is>
          <t>Contractual — 100%</t>
        </is>
      </c>
    </row>
    <row r="30">
      <c r="B30" s="24" t="inlineStr">
        <is>
          <t>Lease Liabilities (Total)</t>
        </is>
      </c>
      <c r="C30" s="14">
        <f>'3. BS'!H23+'3. BS'!H28</f>
        <v/>
      </c>
      <c r="D30" s="43" t="n">
        <v>1</v>
      </c>
      <c r="E30" s="14">
        <f>C30*D30</f>
        <v/>
      </c>
      <c r="F30" s="10" t="inlineStr">
        <is>
          <t>Contractual lease — 100%</t>
        </is>
      </c>
    </row>
    <row r="31">
      <c r="B31" s="24" t="inlineStr">
        <is>
          <t>Other Current Liabilities</t>
        </is>
      </c>
      <c r="C31" s="14">
        <f>'3. BS'!H24</f>
        <v/>
      </c>
      <c r="D31" s="43" t="n">
        <v>1</v>
      </c>
      <c r="E31" s="14">
        <f>C31*D31</f>
        <v/>
      </c>
      <c r="F31" s="10" t="inlineStr">
        <is>
          <t>Contractual — 100%</t>
        </is>
      </c>
    </row>
    <row r="32">
      <c r="B32" s="24" t="inlineStr">
        <is>
          <t>Other Non-Current Liabilities</t>
        </is>
      </c>
      <c r="C32" s="14">
        <f>'3. BS'!H29</f>
        <v/>
      </c>
      <c r="D32" s="43" t="n">
        <v>1</v>
      </c>
      <c r="E32" s="14">
        <f>C32*D32</f>
        <v/>
      </c>
      <c r="F32" s="10" t="inlineStr">
        <is>
          <t>Contractual — 100%</t>
        </is>
      </c>
    </row>
    <row r="33">
      <c r="B33" s="20" t="inlineStr">
        <is>
          <t>Total Pasivos</t>
        </is>
      </c>
      <c r="C33" s="44" t="n"/>
      <c r="D33" s="44" t="n"/>
      <c r="E33" s="25">
        <f>SUM(E29:E32)</f>
        <v/>
      </c>
      <c r="F33" s="44" t="n"/>
    </row>
    <row r="35">
      <c r="B35" s="5" t="inlineStr">
        <is>
          <t>CÁLCULO REPRODUCTION VALUE</t>
        </is>
      </c>
      <c r="C35" s="6" t="n"/>
      <c r="D35" s="6" t="n"/>
      <c r="E35" s="6" t="n"/>
      <c r="F35" s="6" t="n"/>
    </row>
    <row r="36">
      <c r="B36" s="7" t="inlineStr">
        <is>
          <t>Total Activos (Reproduction)</t>
        </is>
      </c>
      <c r="E36" s="14">
        <f>E26</f>
        <v/>
      </c>
    </row>
    <row r="37">
      <c r="B37" s="7" t="inlineStr">
        <is>
          <t>(−) Total Pasivos</t>
        </is>
      </c>
      <c r="E37" s="14">
        <f>-E33</f>
        <v/>
      </c>
    </row>
    <row r="38">
      <c r="B38" s="40" t="inlineStr">
        <is>
          <t>Reproduction Value ($M)</t>
        </is>
      </c>
      <c r="C38" s="46" t="n"/>
      <c r="D38" s="46" t="n"/>
      <c r="E38" s="30">
        <f>E36+E37</f>
        <v/>
      </c>
      <c r="F38" s="46" t="n"/>
    </row>
    <row r="39">
      <c r="B39" s="7" t="inlineStr">
        <is>
          <t>Acciones Diluidas (M)</t>
        </is>
      </c>
      <c r="E39" s="47">
        <f>'2. IS'!H29</f>
        <v/>
      </c>
    </row>
    <row r="40">
      <c r="B40" s="20" t="inlineStr">
        <is>
          <t>Reproduction Value por Acción</t>
        </is>
      </c>
      <c r="C40" s="44" t="n"/>
      <c r="D40" s="44" t="n"/>
      <c r="E40" s="48">
        <f>E38/E39</f>
        <v/>
      </c>
      <c r="F40" s="44" t="n"/>
    </row>
    <row r="42" ht="35" customHeight="1">
      <c r="B42" s="49" t="inlineStr">
        <is>
          <t>NOTA: El Reproduction Value no captura el time-to-build. Replicar Lululemon — la marca premium athleisure, la red de stores propias, y la cultura DTC — tomaría 7-10 años incluso con capital ilimitado. Por ello, este es un estimado conservador del valor de los activos.</t>
        </is>
      </c>
    </row>
    <row r="44">
      <c r="B44" s="28" t="inlineStr">
        <is>
          <t>Source: SEC 10-K + DCE estimates | DCE Holdings | 03-May-2026</t>
        </is>
      </c>
    </row>
  </sheetData>
  <mergeCells count="4">
    <mergeCell ref="B2:F2"/>
    <mergeCell ref="B44:F44"/>
    <mergeCell ref="B42:F42"/>
    <mergeCell ref="B3:F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33C00"/>
    <outlinePr summaryBelow="1" summaryRight="1"/>
    <pageSetUpPr/>
  </sheetPr>
  <dimension ref="B2:J37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4" customWidth="1" min="10" max="10"/>
  </cols>
  <sheetData>
    <row r="2">
      <c r="B2" s="19" t="inlineStr">
        <is>
          <t>NOPAT AJUSTADO Y NORMALIZADO — Lululemon Athletica Inc.</t>
        </is>
      </c>
    </row>
    <row r="3">
      <c r="B3" s="20" t="inlineStr">
        <is>
          <t>En $M USD | Normalizado: Mirror impairment FY2023 eliminado | Tax 28% | Window FY2020-FY2025</t>
        </is>
      </c>
    </row>
    <row r="4">
      <c r="B4" s="21" t="inlineStr">
        <is>
          <t>CONCEPTO ($M)</t>
        </is>
      </c>
      <c r="C4" s="21" t="inlineStr">
        <is>
          <t>Parámetro</t>
        </is>
      </c>
      <c r="D4" s="21" t="inlineStr">
        <is>
          <t>FY 2020</t>
        </is>
      </c>
      <c r="E4" s="21" t="inlineStr">
        <is>
          <t>FY 2021</t>
        </is>
      </c>
      <c r="F4" s="21" t="inlineStr">
        <is>
          <t>FY 2022</t>
        </is>
      </c>
      <c r="G4" s="21" t="inlineStr">
        <is>
          <t>FY 2023</t>
        </is>
      </c>
      <c r="H4" s="21" t="inlineStr">
        <is>
          <t>FY 2024</t>
        </is>
      </c>
      <c r="I4" s="21" t="inlineStr">
        <is>
          <t>FY 2025</t>
        </is>
      </c>
      <c r="J4" s="21" t="inlineStr">
        <is>
          <t>Normalizado</t>
        </is>
      </c>
    </row>
    <row r="5">
      <c r="B5" s="5" t="inlineStr">
        <is>
          <t>PARÁMETROS</t>
        </is>
      </c>
      <c r="C5" s="6" t="n"/>
      <c r="D5" s="6" t="n"/>
      <c r="E5" s="6" t="n"/>
      <c r="F5" s="6" t="n"/>
      <c r="G5" s="6" t="n"/>
      <c r="H5" s="6" t="n"/>
      <c r="I5" s="6" t="n"/>
      <c r="J5" s="6" t="n"/>
    </row>
    <row r="6">
      <c r="B6" s="7" t="inlineStr">
        <is>
          <t>Tax Rate Normalizado (DP8)</t>
        </is>
      </c>
      <c r="C6" s="43" t="n">
        <v>0.28</v>
      </c>
    </row>
    <row r="7">
      <c r="B7" s="7" t="inlineStr">
        <is>
          <t>Items a Normalizar (DP7)</t>
        </is>
      </c>
      <c r="C7" s="8" t="inlineStr">
        <is>
          <t>Mirror impairment FY2023 ($408M) — eliminar</t>
        </is>
      </c>
    </row>
    <row r="8">
      <c r="B8" s="7" t="inlineStr">
        <is>
          <t>Ventana Normalización (DP6)</t>
        </is>
      </c>
      <c r="C8" s="8" t="inlineStr">
        <is>
          <t>6yr (FY2020–FY2025)</t>
        </is>
      </c>
    </row>
    <row r="9">
      <c r="B9" s="7" t="inlineStr">
        <is>
          <t>Revenue Base (No-Growth Scenario)</t>
        </is>
      </c>
      <c r="C9" s="13" t="n">
        <v>11100</v>
      </c>
      <c r="D9" s="50" t="inlineStr">
        <is>
          <t>Default = FY2025 Revenue ($11,100M). Override si no-growth difiere.</t>
        </is>
      </c>
    </row>
    <row r="10">
      <c r="B10" s="7" t="inlineStr">
        <is>
          <t>Margen Op Normalizado</t>
        </is>
      </c>
      <c r="C10" s="43" t="n">
        <v>0.213</v>
      </c>
      <c r="D10" s="50" t="inlineStr">
        <is>
          <t>Median Margen Op Limpio FY20-FY25 ~21.3%. Avg ~21.2%. FY2025 21.1%.</t>
        </is>
      </c>
    </row>
    <row r="12">
      <c r="B12" s="5" t="inlineStr">
        <is>
          <t>INGRESOS</t>
        </is>
      </c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B13" s="41" t="inlineStr">
        <is>
          <t>Net Revenue</t>
        </is>
      </c>
      <c r="D13" s="51">
        <f>'2. IS'!C5</f>
        <v/>
      </c>
      <c r="E13" s="51">
        <f>'2. IS'!D5</f>
        <v/>
      </c>
      <c r="F13" s="51">
        <f>'2. IS'!E5</f>
        <v/>
      </c>
      <c r="G13" s="51">
        <f>'2. IS'!F5</f>
        <v/>
      </c>
      <c r="H13" s="51">
        <f>'2. IS'!G5</f>
        <v/>
      </c>
      <c r="I13" s="51">
        <f>'2. IS'!H5</f>
        <v/>
      </c>
      <c r="J13" s="14">
        <f>$C$9</f>
        <v/>
      </c>
    </row>
    <row r="15">
      <c r="B15" s="5" t="inlineStr">
        <is>
          <t>CÁLCULO — UTILIDAD OPERATIVA AJUSTADA</t>
        </is>
      </c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B16" s="7" t="inlineStr">
        <is>
          <t>Operating Income Reportada</t>
        </is>
      </c>
      <c r="D16" s="51">
        <f>'2. IS'!C13</f>
        <v/>
      </c>
      <c r="E16" s="51">
        <f>'2. IS'!D13</f>
        <v/>
      </c>
      <c r="F16" s="51">
        <f>'2. IS'!E13</f>
        <v/>
      </c>
      <c r="G16" s="51">
        <f>'2. IS'!F13</f>
        <v/>
      </c>
      <c r="H16" s="51">
        <f>'2. IS'!G13</f>
        <v/>
      </c>
      <c r="I16" s="51">
        <f>'2. IS'!H13</f>
        <v/>
      </c>
      <c r="J16" s="51">
        <f>'2. IS'!H13</f>
        <v/>
      </c>
    </row>
    <row r="17">
      <c r="B17" s="24" t="inlineStr">
        <is>
          <t>(+) Mirror Impairment FY2023 (eliminar)</t>
        </is>
      </c>
      <c r="D17" s="14">
        <f>'2. IS'!C12</f>
        <v/>
      </c>
      <c r="E17" s="14">
        <f>'2. IS'!D12</f>
        <v/>
      </c>
      <c r="F17" s="14">
        <f>'2. IS'!E12</f>
        <v/>
      </c>
      <c r="G17" s="14">
        <f>'2. IS'!F12</f>
        <v/>
      </c>
      <c r="H17" s="14">
        <f>'2. IS'!G12</f>
        <v/>
      </c>
      <c r="I17" s="14">
        <f>'2. IS'!H12</f>
        <v/>
      </c>
      <c r="J17" s="14">
        <f>0</f>
        <v/>
      </c>
    </row>
    <row r="18">
      <c r="B18" s="20" t="inlineStr">
        <is>
          <t>Utilidad Operativa Limpia</t>
        </is>
      </c>
      <c r="D18" s="25">
        <f>D16+D17</f>
        <v/>
      </c>
      <c r="E18" s="25">
        <f>E16+E17</f>
        <v/>
      </c>
      <c r="F18" s="25">
        <f>F16+F17</f>
        <v/>
      </c>
      <c r="G18" s="25">
        <f>G16+G17</f>
        <v/>
      </c>
      <c r="H18" s="25">
        <f>H16+H17</f>
        <v/>
      </c>
      <c r="I18" s="25">
        <f>I16+I17</f>
        <v/>
      </c>
      <c r="J18" s="25">
        <f>$C$9*$C$10</f>
        <v/>
      </c>
    </row>
    <row r="19">
      <c r="B19" s="24" t="inlineStr">
        <is>
          <t>(+) Marketing Expense (add-back TOTAL)</t>
        </is>
      </c>
      <c r="D19" s="51">
        <f>'2. IS'!C30</f>
        <v/>
      </c>
      <c r="E19" s="51">
        <f>'2. IS'!D30</f>
        <v/>
      </c>
      <c r="F19" s="51">
        <f>'2. IS'!E30</f>
        <v/>
      </c>
      <c r="G19" s="51">
        <f>'2. IS'!F30</f>
        <v/>
      </c>
      <c r="H19" s="51">
        <f>'2. IS'!G30</f>
        <v/>
      </c>
      <c r="I19" s="51">
        <f>'2. IS'!H30</f>
        <v/>
      </c>
      <c r="J19" s="51">
        <f>'2. IS'!H30</f>
        <v/>
      </c>
    </row>
    <row r="20">
      <c r="B20" s="24" t="inlineStr">
        <is>
          <t>(−) Economic Amortization S&amp;M (Maintenance)</t>
        </is>
      </c>
      <c r="D20" s="51">
        <f>-('2. IS'!C30)</f>
        <v/>
      </c>
      <c r="E20" s="51">
        <f>-('6. S&amp;M Cap'!C30)</f>
        <v/>
      </c>
      <c r="F20" s="51">
        <f>-('6. S&amp;M Cap'!D30)</f>
        <v/>
      </c>
      <c r="G20" s="51">
        <f>-('6. S&amp;M Cap'!E30)</f>
        <v/>
      </c>
      <c r="H20" s="51">
        <f>-('6. S&amp;M Cap'!F30)</f>
        <v/>
      </c>
      <c r="I20" s="51">
        <f>-('6. S&amp;M Cap'!G30)</f>
        <v/>
      </c>
      <c r="J20" s="51">
        <f>-'6. S&amp;M Cap'!G30</f>
        <v/>
      </c>
    </row>
    <row r="21">
      <c r="B21" s="52" t="inlineStr">
        <is>
          <t>S&amp;M Growth Expense (referencia — no reduce NOPAT)</t>
        </is>
      </c>
      <c r="D21" s="53">
        <f>D19+D20</f>
        <v/>
      </c>
      <c r="E21" s="53">
        <f>E19+E20</f>
        <v/>
      </c>
      <c r="F21" s="53">
        <f>F19+F20</f>
        <v/>
      </c>
      <c r="G21" s="53">
        <f>G19+G20</f>
        <v/>
      </c>
      <c r="H21" s="53">
        <f>H19+H20</f>
        <v/>
      </c>
      <c r="I21" s="53">
        <f>I19+I20</f>
        <v/>
      </c>
      <c r="J21" s="53">
        <f>J19+J20</f>
        <v/>
      </c>
    </row>
    <row r="22">
      <c r="B22" s="24" t="inlineStr">
        <is>
          <t>(+) R&amp;D Expense (add-back) — N/A</t>
        </is>
      </c>
      <c r="D22" s="13" t="n">
        <v>0</v>
      </c>
      <c r="E22" s="13" t="n">
        <v>0</v>
      </c>
      <c r="F22" s="13" t="n">
        <v>0</v>
      </c>
      <c r="G22" s="13" t="n">
        <v>0</v>
      </c>
      <c r="H22" s="13" t="n">
        <v>0</v>
      </c>
      <c r="I22" s="13" t="n">
        <v>0</v>
      </c>
      <c r="J22" s="13" t="n">
        <v>0</v>
      </c>
    </row>
    <row r="23">
      <c r="B23" s="24" t="inlineStr">
        <is>
          <t>(−) Economic Amortization R&amp;D — N/A</t>
        </is>
      </c>
      <c r="D23" s="13" t="n">
        <v>0</v>
      </c>
      <c r="E23" s="13" t="n">
        <v>0</v>
      </c>
      <c r="F23" s="13" t="n">
        <v>0</v>
      </c>
      <c r="G23" s="13" t="n">
        <v>0</v>
      </c>
      <c r="H23" s="13" t="n">
        <v>0</v>
      </c>
      <c r="I23" s="13" t="n">
        <v>0</v>
      </c>
      <c r="J23" s="13" t="n">
        <v>0</v>
      </c>
    </row>
    <row r="24">
      <c r="B24" s="20" t="inlineStr">
        <is>
          <t>Utilidad Operativa Ajustada (pre-tax)</t>
        </is>
      </c>
      <c r="D24" s="25">
        <f>D18+D19+D20+D22+D23</f>
        <v/>
      </c>
      <c r="E24" s="25">
        <f>E18+E19+E20+E22+E23</f>
        <v/>
      </c>
      <c r="F24" s="25">
        <f>F18+F19+F20+F22+F23</f>
        <v/>
      </c>
      <c r="G24" s="25">
        <f>G18+G19+G20+G22+G23</f>
        <v/>
      </c>
      <c r="H24" s="25">
        <f>H18+H19+H20+H22+H23</f>
        <v/>
      </c>
      <c r="I24" s="25">
        <f>I18+I19+I20+I22+I23</f>
        <v/>
      </c>
      <c r="J24" s="25">
        <f>J18+J19+J20+J22+J23</f>
        <v/>
      </c>
    </row>
    <row r="25">
      <c r="B25" s="24" t="inlineStr">
        <is>
          <t>× (1 − Tax Rate Normalizado)</t>
        </is>
      </c>
      <c r="D25" s="15">
        <f>1-$C$6</f>
        <v/>
      </c>
      <c r="E25" s="15">
        <f>1-$C$6</f>
        <v/>
      </c>
      <c r="F25" s="15">
        <f>1-$C$6</f>
        <v/>
      </c>
      <c r="G25" s="15">
        <f>1-$C$6</f>
        <v/>
      </c>
      <c r="H25" s="15">
        <f>1-$C$6</f>
        <v/>
      </c>
      <c r="I25" s="15">
        <f>1-$C$6</f>
        <v/>
      </c>
      <c r="J25" s="15">
        <f>1-$C$6</f>
        <v/>
      </c>
    </row>
    <row r="26">
      <c r="B26" s="40" t="inlineStr">
        <is>
          <t>NOPAT Ajustado</t>
        </is>
      </c>
      <c r="D26" s="30">
        <f>D24*D25</f>
        <v/>
      </c>
      <c r="E26" s="30">
        <f>E24*E25</f>
        <v/>
      </c>
      <c r="F26" s="30">
        <f>F24*F25</f>
        <v/>
      </c>
      <c r="G26" s="30">
        <f>G24*G25</f>
        <v/>
      </c>
      <c r="H26" s="30">
        <f>H24*H25</f>
        <v/>
      </c>
      <c r="I26" s="30">
        <f>I24*I25</f>
        <v/>
      </c>
      <c r="J26" s="30">
        <f>J24*J25</f>
        <v/>
      </c>
    </row>
    <row r="28">
      <c r="B28" s="5" t="inlineStr">
        <is>
          <t>MÉTRICAS</t>
        </is>
      </c>
      <c r="C28" s="6" t="n"/>
      <c r="D28" s="6" t="n"/>
      <c r="E28" s="6" t="n"/>
      <c r="F28" s="6" t="n"/>
      <c r="G28" s="6" t="n"/>
      <c r="H28" s="6" t="n"/>
      <c r="I28" s="6" t="n"/>
      <c r="J28" s="6" t="n"/>
    </row>
    <row r="29">
      <c r="B29" s="7" t="inlineStr">
        <is>
          <t>Margen Op Limpio (OpInc Clean / Revenue)</t>
        </is>
      </c>
      <c r="D29" s="15">
        <f>D18/D13</f>
        <v/>
      </c>
      <c r="E29" s="15">
        <f>E18/E13</f>
        <v/>
      </c>
      <c r="F29" s="15">
        <f>F18/F13</f>
        <v/>
      </c>
      <c r="G29" s="15">
        <f>G18/G13</f>
        <v/>
      </c>
      <c r="H29" s="15">
        <f>H18/H13</f>
        <v/>
      </c>
      <c r="I29" s="15">
        <f>I18/I13</f>
        <v/>
      </c>
      <c r="J29" s="43">
        <f>$C$10</f>
        <v/>
      </c>
    </row>
    <row r="30">
      <c r="B30" s="7" t="inlineStr">
        <is>
          <t>NOPAT Margin %</t>
        </is>
      </c>
      <c r="D30" s="15">
        <f>D26/D13</f>
        <v/>
      </c>
      <c r="E30" s="15">
        <f>E26/E13</f>
        <v/>
      </c>
      <c r="F30" s="15">
        <f>F26/F13</f>
        <v/>
      </c>
      <c r="G30" s="15">
        <f>G26/G13</f>
        <v/>
      </c>
      <c r="H30" s="15">
        <f>H26/H13</f>
        <v/>
      </c>
      <c r="I30" s="15">
        <f>I26/I13</f>
        <v/>
      </c>
      <c r="J30" s="15">
        <f>J26/J13</f>
        <v/>
      </c>
    </row>
    <row r="31">
      <c r="B31" s="7" t="inlineStr">
        <is>
          <t>NOPAT YoY Growth %</t>
        </is>
      </c>
      <c r="D31" s="35" t="inlineStr">
        <is>
          <t>-</t>
        </is>
      </c>
      <c r="E31" s="15">
        <f>(E26-D26)/ABS(D26)</f>
        <v/>
      </c>
      <c r="F31" s="15">
        <f>(F26-E26)/ABS(E26)</f>
        <v/>
      </c>
      <c r="G31" s="15">
        <f>(G26-F26)/ABS(F26)</f>
        <v/>
      </c>
      <c r="H31" s="15">
        <f>(H26-G26)/ABS(G26)</f>
        <v/>
      </c>
      <c r="I31" s="15">
        <f>(I26-H26)/ABS(H26)</f>
        <v/>
      </c>
    </row>
    <row r="33">
      <c r="B33" s="5" t="inlineStr">
        <is>
          <t>REFERENCIAS (para EPV)</t>
        </is>
      </c>
      <c r="C33" s="6" t="n"/>
      <c r="D33" s="6" t="n"/>
      <c r="E33" s="6" t="n"/>
      <c r="F33" s="6" t="n"/>
      <c r="G33" s="6" t="n"/>
      <c r="H33" s="6" t="n"/>
      <c r="I33" s="6" t="n"/>
      <c r="J33" s="6" t="n"/>
    </row>
    <row r="34">
      <c r="B34" s="7" t="inlineStr">
        <is>
          <t>D&amp;A (Full Company)</t>
        </is>
      </c>
      <c r="D34" s="51">
        <f>'2. IS'!C10</f>
        <v/>
      </c>
      <c r="E34" s="51">
        <f>'2. IS'!D10</f>
        <v/>
      </c>
      <c r="F34" s="51">
        <f>'2. IS'!E10</f>
        <v/>
      </c>
      <c r="G34" s="51">
        <f>'2. IS'!F10</f>
        <v/>
      </c>
      <c r="H34" s="51">
        <f>'2. IS'!G10</f>
        <v/>
      </c>
      <c r="I34" s="51">
        <f>'2. IS'!H10</f>
        <v/>
      </c>
      <c r="J34" s="51">
        <f>'2. IS'!H10</f>
        <v/>
      </c>
    </row>
    <row r="35">
      <c r="B35" s="7" t="inlineStr">
        <is>
          <t>CapEx</t>
        </is>
      </c>
      <c r="D35" s="51">
        <f>ABS('4. CF'!C14)</f>
        <v/>
      </c>
      <c r="E35" s="51">
        <f>ABS('4. CF'!D14)</f>
        <v/>
      </c>
      <c r="F35" s="51">
        <f>ABS('4. CF'!E14)</f>
        <v/>
      </c>
      <c r="G35" s="51">
        <f>ABS('4. CF'!F14)</f>
        <v/>
      </c>
      <c r="H35" s="51">
        <f>ABS('4. CF'!G14)</f>
        <v/>
      </c>
      <c r="I35" s="51">
        <f>ABS('4. CF'!H14)</f>
        <v/>
      </c>
      <c r="J35" s="51">
        <f>ABS('4. CF'!H14)</f>
        <v/>
      </c>
    </row>
    <row r="37">
      <c r="B37" s="28" t="inlineStr">
        <is>
          <t>Source: SEC 10-K + DCE normalization | DCE Holdings | 03-May-2026</t>
        </is>
      </c>
    </row>
  </sheetData>
  <mergeCells count="7">
    <mergeCell ref="B3:J3"/>
    <mergeCell ref="B37:J37"/>
    <mergeCell ref="C7:J7"/>
    <mergeCell ref="D9:J9"/>
    <mergeCell ref="D10:J10"/>
    <mergeCell ref="B2:J2"/>
    <mergeCell ref="C8:J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030A0"/>
    <outlinePr summaryBelow="1" summaryRight="1"/>
    <pageSetUpPr/>
  </sheetPr>
  <dimension ref="B2:H46"/>
  <sheetViews>
    <sheetView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6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19" t="inlineStr">
        <is>
          <t>EARNINGS POWER VALUE — Lululemon Athletica Inc.</t>
        </is>
      </c>
    </row>
    <row r="3">
      <c r="B3" s="20" t="inlineStr">
        <is>
          <t>En $M USD | Zero-growth perpetuity | WACC = Ke (zero LT debt)</t>
        </is>
      </c>
    </row>
    <row r="5">
      <c r="B5" s="5" t="inlineStr">
        <is>
          <t>SECCIÓN 1: WACC</t>
        </is>
      </c>
      <c r="C5" s="6" t="n"/>
      <c r="D5" s="6" t="n"/>
      <c r="E5" s="6" t="n"/>
      <c r="F5" s="6" t="n"/>
      <c r="G5" s="6" t="n"/>
      <c r="H5" s="6" t="n"/>
    </row>
    <row r="6">
      <c r="B6" s="7" t="inlineStr">
        <is>
          <t>Risk-Free Rate (10Y UST)</t>
        </is>
      </c>
      <c r="C6" s="43" t="n">
        <v>0.0439</v>
      </c>
      <c r="D6" s="10" t="inlineStr">
        <is>
          <t>YCharts 1-May-2026</t>
        </is>
      </c>
    </row>
    <row r="7">
      <c r="B7" s="7" t="inlineStr">
        <is>
          <t>Beta (5yr)</t>
        </is>
      </c>
      <c r="C7" s="54" t="n">
        <v>1.3</v>
      </c>
      <c r="D7" s="10" t="inlineStr">
        <is>
          <t>Median raw 1.51 + alphaspread 0.77</t>
        </is>
      </c>
    </row>
    <row r="8">
      <c r="B8" s="7" t="inlineStr">
        <is>
          <t>Equity Risk Premium</t>
        </is>
      </c>
      <c r="C8" s="43" t="n">
        <v>0.045</v>
      </c>
      <c r="D8" s="10" t="inlineStr">
        <is>
          <t>Damodaran Implied 2026</t>
        </is>
      </c>
    </row>
    <row r="9">
      <c r="B9" s="20" t="inlineStr">
        <is>
          <t>Cost of Equity (Ke)</t>
        </is>
      </c>
      <c r="C9" s="55">
        <f>C6+C7*C8</f>
        <v/>
      </c>
      <c r="D9" s="10" t="inlineStr">
        <is>
          <t>Rf + Beta × ERP</t>
        </is>
      </c>
    </row>
    <row r="10">
      <c r="B10" s="7" t="inlineStr">
        <is>
          <t>Cost of Debt (Kd pre-tax)</t>
        </is>
      </c>
      <c r="C10" s="43" t="n">
        <v>0</v>
      </c>
      <c r="D10" s="10" t="inlineStr">
        <is>
          <t>LULU sin deuda LP — N/A</t>
        </is>
      </c>
    </row>
    <row r="11">
      <c r="B11" s="7" t="inlineStr">
        <is>
          <t>Tax Rate</t>
        </is>
      </c>
      <c r="C11" s="15">
        <f>'9. NOPAT'!C6</f>
        <v/>
      </c>
      <c r="D11" s="10" t="inlineStr">
        <is>
          <t>Link a NOPAT DP8</t>
        </is>
      </c>
    </row>
    <row r="12">
      <c r="B12" s="7" t="inlineStr">
        <is>
          <t>Cost of Debt (Kd post-tax)</t>
        </is>
      </c>
      <c r="C12" s="15">
        <f>C10*(1-C11)</f>
        <v/>
      </c>
      <c r="D12" s="10" t="inlineStr">
        <is>
          <t>Kd × (1-t)</t>
        </is>
      </c>
    </row>
    <row r="13">
      <c r="B13" s="40" t="inlineStr">
        <is>
          <t>WACC</t>
        </is>
      </c>
      <c r="C13" s="56">
        <f>C9*1+C12*0</f>
        <v/>
      </c>
      <c r="D13" s="10" t="inlineStr">
        <is>
          <t>Zero debt → WACC = Ke</t>
        </is>
      </c>
    </row>
    <row r="14">
      <c r="B14" s="7" t="inlineStr">
        <is>
          <t>E / (D+E)</t>
        </is>
      </c>
      <c r="C14" s="43" t="n">
        <v>1</v>
      </c>
    </row>
    <row r="15">
      <c r="B15" s="7" t="inlineStr">
        <is>
          <t>D / (D+E)</t>
        </is>
      </c>
      <c r="C15" s="43" t="n">
        <v>0</v>
      </c>
    </row>
    <row r="17">
      <c r="B17" s="5" t="inlineStr">
        <is>
          <t>SECCIÓN 2: CÁLCULO EPV</t>
        </is>
      </c>
      <c r="C17" s="6" t="n"/>
      <c r="D17" s="6" t="n"/>
      <c r="E17" s="6" t="n"/>
      <c r="F17" s="6" t="n"/>
      <c r="G17" s="6" t="n"/>
      <c r="H17" s="6" t="n"/>
    </row>
    <row r="18">
      <c r="B18" s="7" t="inlineStr">
        <is>
          <t>Adj. Operating Income (Normalizado)</t>
        </is>
      </c>
      <c r="C18" s="51">
        <f>'9. NOPAT'!J24</f>
        <v/>
      </c>
    </row>
    <row r="19">
      <c r="B19" s="7" t="inlineStr">
        <is>
          <t>× (1 − Tax Rate)</t>
        </is>
      </c>
      <c r="C19" s="15">
        <f>1-C11</f>
        <v/>
      </c>
    </row>
    <row r="20">
      <c r="B20" s="20" t="inlineStr">
        <is>
          <t>NOPAT Normalizado</t>
        </is>
      </c>
      <c r="C20" s="25">
        <f>C18*C19</f>
        <v/>
      </c>
    </row>
    <row r="21">
      <c r="B21" s="7" t="inlineStr">
        <is>
          <t>(+) D&amp;A</t>
        </is>
      </c>
      <c r="C21" s="51">
        <f>'9. NOPAT'!J34</f>
        <v/>
      </c>
    </row>
    <row r="22">
      <c r="B22" s="7" t="inlineStr">
        <is>
          <t>(−) Maintenance CapEx (Zero-Growth)</t>
        </is>
      </c>
      <c r="C22" s="13" t="n">
        <v>414</v>
      </c>
      <c r="D22" s="50" t="inlineStr">
        <is>
          <t>Default = D&amp;A. Override si Maint CapEx ≠ D&amp;A.</t>
        </is>
      </c>
    </row>
    <row r="23">
      <c r="B23" s="40" t="inlineStr">
        <is>
          <t>EPV Operaciones</t>
        </is>
      </c>
      <c r="C23" s="30">
        <f>(C20+C21-C22)/C13</f>
        <v/>
      </c>
    </row>
    <row r="24">
      <c r="B24" s="7" t="inlineStr">
        <is>
          <t>(+) Excess Cash (Cash + STI − 2% Revenue buffer)</t>
        </is>
      </c>
      <c r="C24" s="14">
        <f>'3. BS'!H7-0.02*'2. IS'!H5</f>
        <v/>
      </c>
    </row>
    <row r="25">
      <c r="B25" s="7" t="inlineStr">
        <is>
          <t>(+) Non-Operating Assets</t>
        </is>
      </c>
      <c r="C25" s="13" t="n">
        <v>0</v>
      </c>
    </row>
    <row r="26">
      <c r="B26" s="7" t="inlineStr">
        <is>
          <t>(−) Total Debt</t>
        </is>
      </c>
      <c r="C26" s="14">
        <f>-'3. BS'!H37</f>
        <v/>
      </c>
    </row>
    <row r="27">
      <c r="B27" s="7" t="inlineStr">
        <is>
          <t>(−) Lease Liabilities</t>
        </is>
      </c>
      <c r="C27" s="14">
        <f>-('3. BS'!H23+'3. BS'!H28)</f>
        <v/>
      </c>
    </row>
    <row r="28">
      <c r="B28" s="7" t="inlineStr">
        <is>
          <t>(−) Minority Interest</t>
        </is>
      </c>
      <c r="C28" s="13" t="n">
        <v>0</v>
      </c>
    </row>
    <row r="29">
      <c r="B29" s="20" t="inlineStr">
        <is>
          <t>EPV Equity</t>
        </is>
      </c>
      <c r="C29" s="25">
        <f>C23+C24+C25+C26+C27+C28</f>
        <v/>
      </c>
    </row>
    <row r="30">
      <c r="B30" s="7" t="inlineStr">
        <is>
          <t>Acciones Diluidas (M)</t>
        </is>
      </c>
      <c r="C30" s="57">
        <f>'2. IS'!H29</f>
        <v/>
      </c>
    </row>
    <row r="31">
      <c r="B31" s="40" t="inlineStr">
        <is>
          <t>EPV por Acción</t>
        </is>
      </c>
      <c r="C31" s="58">
        <f>C29/C30</f>
        <v/>
      </c>
    </row>
    <row r="33">
      <c r="B33" s="5" t="inlineStr">
        <is>
          <t>SECCIÓN 3: BRIDGE EPV OPERACIONES → EQUITY EPV</t>
        </is>
      </c>
      <c r="C33" s="6" t="n"/>
      <c r="D33" s="6" t="n"/>
      <c r="E33" s="6" t="n"/>
      <c r="F33" s="6" t="n"/>
      <c r="G33" s="6" t="n"/>
      <c r="H33" s="6" t="n"/>
    </row>
    <row r="34">
      <c r="B34" s="7" t="inlineStr">
        <is>
          <t>Precio Actual</t>
        </is>
      </c>
      <c r="C34" s="59">
        <f>'1. Overview'!C17</f>
        <v/>
      </c>
    </row>
    <row r="35">
      <c r="B35" s="7" t="inlineStr">
        <is>
          <t>EPV / Acción</t>
        </is>
      </c>
      <c r="C35" s="16">
        <f>C31</f>
        <v/>
      </c>
    </row>
    <row r="36">
      <c r="B36" s="20" t="inlineStr">
        <is>
          <t>Descuento / Prima</t>
        </is>
      </c>
      <c r="C36" s="55">
        <f>(C35-C34)/C35</f>
        <v/>
      </c>
    </row>
    <row r="38">
      <c r="B38" s="41" t="inlineStr">
        <is>
          <t>SENSIBILIDAD EPV/Acción (WACC × NOPAT variation)</t>
        </is>
      </c>
    </row>
    <row r="39">
      <c r="B39" s="21" t="inlineStr">
        <is>
          <t>WACC \ ΔNOPAT</t>
        </is>
      </c>
      <c r="C39" s="60" t="n">
        <v>-0.1</v>
      </c>
      <c r="D39" s="60" t="n">
        <v>-0.05</v>
      </c>
      <c r="E39" s="60" t="n">
        <v>0</v>
      </c>
      <c r="F39" s="60" t="n">
        <v>0.05</v>
      </c>
      <c r="G39" s="60" t="n">
        <v>0.1</v>
      </c>
    </row>
    <row r="40">
      <c r="B40" s="61" t="n">
        <v>-0.01</v>
      </c>
      <c r="C40" s="16">
        <f>((C20*(1+-0.1)+C21-C22)/(C13+-0.01)+C24+C25+C26+C27+C28)/C30</f>
        <v/>
      </c>
      <c r="D40" s="16">
        <f>((C20*(1+-0.05)+C21-C22)/(C13+-0.01)+C24+C25+C26+C27+C28)/C30</f>
        <v/>
      </c>
      <c r="E40" s="16">
        <f>((C20*(1+0.0)+C21-C22)/(C13+-0.01)+C24+C25+C26+C27+C28)/C30</f>
        <v/>
      </c>
      <c r="F40" s="16">
        <f>((C20*(1+0.05)+C21-C22)/(C13+-0.01)+C24+C25+C26+C27+C28)/C30</f>
        <v/>
      </c>
      <c r="G40" s="16">
        <f>((C20*(1+0.1)+C21-C22)/(C13+-0.01)+C24+C25+C26+C27+C28)/C30</f>
        <v/>
      </c>
    </row>
    <row r="41">
      <c r="B41" s="61" t="n">
        <v>-0.005</v>
      </c>
      <c r="C41" s="16">
        <f>((C20*(1+-0.1)+C21-C22)/(C13+-0.005)+C24+C25+C26+C27+C28)/C30</f>
        <v/>
      </c>
      <c r="D41" s="16">
        <f>((C20*(1+-0.05)+C21-C22)/(C13+-0.005)+C24+C25+C26+C27+C28)/C30</f>
        <v/>
      </c>
      <c r="E41" s="16">
        <f>((C20*(1+0.0)+C21-C22)/(C13+-0.005)+C24+C25+C26+C27+C28)/C30</f>
        <v/>
      </c>
      <c r="F41" s="16">
        <f>((C20*(1+0.05)+C21-C22)/(C13+-0.005)+C24+C25+C26+C27+C28)/C30</f>
        <v/>
      </c>
      <c r="G41" s="16">
        <f>((C20*(1+0.1)+C21-C22)/(C13+-0.005)+C24+C25+C26+C27+C28)/C30</f>
        <v/>
      </c>
    </row>
    <row r="42">
      <c r="B42" s="61" t="n">
        <v>0</v>
      </c>
      <c r="C42" s="16">
        <f>((C20*(1+-0.1)+C21-C22)/(C13+0.0)+C24+C25+C26+C27+C28)/C30</f>
        <v/>
      </c>
      <c r="D42" s="16">
        <f>((C20*(1+-0.05)+C21-C22)/(C13+0.0)+C24+C25+C26+C27+C28)/C30</f>
        <v/>
      </c>
      <c r="E42" s="16">
        <f>((C20*(1+0.0)+C21-C22)/(C13+0.0)+C24+C25+C26+C27+C28)/C30</f>
        <v/>
      </c>
      <c r="F42" s="16">
        <f>((C20*(1+0.05)+C21-C22)/(C13+0.0)+C24+C25+C26+C27+C28)/C30</f>
        <v/>
      </c>
      <c r="G42" s="16">
        <f>((C20*(1+0.1)+C21-C22)/(C13+0.0)+C24+C25+C26+C27+C28)/C30</f>
        <v/>
      </c>
    </row>
    <row r="43">
      <c r="B43" s="61" t="n">
        <v>0.005</v>
      </c>
      <c r="C43" s="16">
        <f>((C20*(1+-0.1)+C21-C22)/(C13+0.005)+C24+C25+C26+C27+C28)/C30</f>
        <v/>
      </c>
      <c r="D43" s="16">
        <f>((C20*(1+-0.05)+C21-C22)/(C13+0.005)+C24+C25+C26+C27+C28)/C30</f>
        <v/>
      </c>
      <c r="E43" s="16">
        <f>((C20*(1+0.0)+C21-C22)/(C13+0.005)+C24+C25+C26+C27+C28)/C30</f>
        <v/>
      </c>
      <c r="F43" s="16">
        <f>((C20*(1+0.05)+C21-C22)/(C13+0.005)+C24+C25+C26+C27+C28)/C30</f>
        <v/>
      </c>
      <c r="G43" s="16">
        <f>((C20*(1+0.1)+C21-C22)/(C13+0.005)+C24+C25+C26+C27+C28)/C30</f>
        <v/>
      </c>
    </row>
    <row r="44">
      <c r="B44" s="61" t="n">
        <v>0.01</v>
      </c>
      <c r="C44" s="16">
        <f>((C20*(1+-0.1)+C21-C22)/(C13+0.01)+C24+C25+C26+C27+C28)/C30</f>
        <v/>
      </c>
      <c r="D44" s="16">
        <f>((C20*(1+-0.05)+C21-C22)/(C13+0.01)+C24+C25+C26+C27+C28)/C30</f>
        <v/>
      </c>
      <c r="E44" s="16">
        <f>((C20*(1+0.0)+C21-C22)/(C13+0.01)+C24+C25+C26+C27+C28)/C30</f>
        <v/>
      </c>
      <c r="F44" s="16">
        <f>((C20*(1+0.05)+C21-C22)/(C13+0.01)+C24+C25+C26+C27+C28)/C30</f>
        <v/>
      </c>
      <c r="G44" s="16">
        <f>((C20*(1+0.1)+C21-C22)/(C13+0.01)+C24+C25+C26+C27+C28)/C30</f>
        <v/>
      </c>
    </row>
    <row r="46">
      <c r="B46" s="28" t="inlineStr">
        <is>
          <t>Source: DCE Calculation | DCE Holdings | 03-May-2026</t>
        </is>
      </c>
    </row>
  </sheetData>
  <mergeCells count="3">
    <mergeCell ref="B3:H3"/>
    <mergeCell ref="B2:H2"/>
    <mergeCell ref="B46:H4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33C00"/>
    <outlinePr summaryBelow="1" summaryRight="1"/>
    <pageSetUpPr/>
  </sheetPr>
  <dimension ref="B2:H34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2">
      <c r="B2" s="19" t="inlineStr">
        <is>
          <t>RETURN ON INVESTED CAPITAL — Lululemon Athletica Inc.</t>
        </is>
      </c>
    </row>
    <row r="3">
      <c r="B3" s="20" t="inlineStr">
        <is>
          <t>En $M USD | NOPAT Ajustado / Capital Invertido</t>
        </is>
      </c>
    </row>
    <row r="4">
      <c r="B4" s="21" t="inlineStr">
        <is>
          <t>CONCEPTO ($M)</t>
        </is>
      </c>
      <c r="C4" s="21" t="inlineStr">
        <is>
          <t>FY 2020</t>
        </is>
      </c>
      <c r="D4" s="21" t="inlineStr">
        <is>
          <t>FY 2021</t>
        </is>
      </c>
      <c r="E4" s="21" t="inlineStr">
        <is>
          <t>FY 2022</t>
        </is>
      </c>
      <c r="F4" s="21" t="inlineStr">
        <is>
          <t>FY 2023</t>
        </is>
      </c>
      <c r="G4" s="21" t="inlineStr">
        <is>
          <t>FY 2024</t>
        </is>
      </c>
      <c r="H4" s="21" t="inlineStr">
        <is>
          <t>FY 2025</t>
        </is>
      </c>
    </row>
    <row r="5">
      <c r="B5" s="5" t="inlineStr">
        <is>
          <t>SECCIÓN 1: ROIC CONTABLE</t>
        </is>
      </c>
      <c r="C5" s="6" t="n"/>
      <c r="D5" s="6" t="n"/>
      <c r="E5" s="6" t="n"/>
      <c r="F5" s="6" t="n"/>
      <c r="G5" s="6" t="n"/>
      <c r="H5" s="6" t="n"/>
    </row>
    <row r="6">
      <c r="B6" s="7" t="inlineStr">
        <is>
          <t>NOPAT (numerador)</t>
        </is>
      </c>
      <c r="C6" s="51">
        <f>'9. NOPAT'!D26</f>
        <v/>
      </c>
      <c r="D6" s="51">
        <f>'9. NOPAT'!E26</f>
        <v/>
      </c>
      <c r="E6" s="51">
        <f>'9. NOPAT'!F26</f>
        <v/>
      </c>
      <c r="F6" s="51">
        <f>'9. NOPAT'!G26</f>
        <v/>
      </c>
      <c r="G6" s="51">
        <f>'9. NOPAT'!H26</f>
        <v/>
      </c>
      <c r="H6" s="51">
        <f>'9. NOPAT'!I26</f>
        <v/>
      </c>
    </row>
    <row r="7">
      <c r="B7" s="20" t="inlineStr">
        <is>
          <t>CAPITAL INVERTIDO</t>
        </is>
      </c>
      <c r="C7" s="44" t="n"/>
      <c r="D7" s="44" t="n"/>
      <c r="E7" s="44" t="n"/>
      <c r="F7" s="44" t="n"/>
      <c r="G7" s="44" t="n"/>
      <c r="H7" s="44" t="n"/>
    </row>
    <row r="8">
      <c r="B8" s="24" t="inlineStr">
        <is>
          <t>Working Capital Operating</t>
        </is>
      </c>
      <c r="C8" s="14">
        <f>('3. BS'!C11-'3. BS'!C7)-('3. BS'!C25)</f>
        <v/>
      </c>
      <c r="D8" s="14">
        <f>('3. BS'!D11-'3. BS'!D7)-('3. BS'!D25)</f>
        <v/>
      </c>
      <c r="E8" s="14">
        <f>('3. BS'!E11-'3. BS'!E7)-('3. BS'!E25)</f>
        <v/>
      </c>
      <c r="F8" s="14">
        <f>('3. BS'!F11-'3. BS'!F7)-('3. BS'!F25)</f>
        <v/>
      </c>
      <c r="G8" s="14">
        <f>('3. BS'!G11-'3. BS'!G7)-('3. BS'!G25)</f>
        <v/>
      </c>
      <c r="H8" s="14">
        <f>('3. BS'!H11-'3. BS'!H7)-('3. BS'!H25)</f>
        <v/>
      </c>
    </row>
    <row r="9">
      <c r="B9" s="24" t="inlineStr">
        <is>
          <t>(+) PP&amp;E, Net</t>
        </is>
      </c>
      <c r="C9" s="51">
        <f>'3. BS'!C14</f>
        <v/>
      </c>
      <c r="D9" s="51">
        <f>'3. BS'!D14</f>
        <v/>
      </c>
      <c r="E9" s="51">
        <f>'3. BS'!E14</f>
        <v/>
      </c>
      <c r="F9" s="51">
        <f>'3. BS'!F14</f>
        <v/>
      </c>
      <c r="G9" s="51">
        <f>'3. BS'!G14</f>
        <v/>
      </c>
      <c r="H9" s="51">
        <f>'3. BS'!H14</f>
        <v/>
      </c>
    </row>
    <row r="10">
      <c r="B10" s="24" t="inlineStr">
        <is>
          <t>(+) Other LT Operating Assets (ROU + Other NCA)</t>
        </is>
      </c>
      <c r="C10" s="14">
        <f>'3. BS'!C15+'3. BS'!C18</f>
        <v/>
      </c>
      <c r="D10" s="14">
        <f>'3. BS'!D15+'3. BS'!D18</f>
        <v/>
      </c>
      <c r="E10" s="14">
        <f>'3. BS'!E15+'3. BS'!E18</f>
        <v/>
      </c>
      <c r="F10" s="14">
        <f>'3. BS'!F15+'3. BS'!F18</f>
        <v/>
      </c>
      <c r="G10" s="14">
        <f>'3. BS'!G15+'3. BS'!G18</f>
        <v/>
      </c>
      <c r="H10" s="14">
        <f>'3. BS'!H15+'3. BS'!H18</f>
        <v/>
      </c>
    </row>
    <row r="11">
      <c r="B11" s="24" t="inlineStr">
        <is>
          <t>(+) S&amp;M Asset (Unamortized)</t>
        </is>
      </c>
      <c r="C11" s="14">
        <f>0</f>
        <v/>
      </c>
      <c r="D11" s="51">
        <f>'6. S&amp;M Cap'!C32</f>
        <v/>
      </c>
      <c r="E11" s="51">
        <f>'6. S&amp;M Cap'!D32</f>
        <v/>
      </c>
      <c r="F11" s="51">
        <f>'6. S&amp;M Cap'!E32</f>
        <v/>
      </c>
      <c r="G11" s="51">
        <f>'6. S&amp;M Cap'!F32</f>
        <v/>
      </c>
      <c r="H11" s="51">
        <f>'6. S&amp;M Cap'!G32</f>
        <v/>
      </c>
    </row>
    <row r="12">
      <c r="B12" s="24" t="inlineStr">
        <is>
          <t>(+) R&amp;D Asset (N/A)</t>
        </is>
      </c>
      <c r="C12" s="13" t="n">
        <v>0</v>
      </c>
      <c r="D12" s="13" t="n">
        <v>0</v>
      </c>
      <c r="E12" s="13" t="n">
        <v>0</v>
      </c>
      <c r="F12" s="13" t="n">
        <v>0</v>
      </c>
      <c r="G12" s="13" t="n">
        <v>0</v>
      </c>
      <c r="H12" s="13" t="n">
        <v>0</v>
      </c>
    </row>
    <row r="13">
      <c r="B13" s="20" t="inlineStr">
        <is>
          <t>Invested Capital</t>
        </is>
      </c>
      <c r="C13" s="25">
        <f>SUM(C8:C12)</f>
        <v/>
      </c>
      <c r="D13" s="25">
        <f>SUM(D8:D12)</f>
        <v/>
      </c>
      <c r="E13" s="25">
        <f>SUM(E8:E12)</f>
        <v/>
      </c>
      <c r="F13" s="25">
        <f>SUM(F8:F12)</f>
        <v/>
      </c>
      <c r="G13" s="25">
        <f>SUM(G8:G12)</f>
        <v/>
      </c>
      <c r="H13" s="25">
        <f>SUM(H8:H12)</f>
        <v/>
      </c>
    </row>
    <row r="14">
      <c r="B14" s="40" t="inlineStr">
        <is>
          <t>ROIC</t>
        </is>
      </c>
      <c r="C14" s="56">
        <f>IF(C13&lt;0,"N/M",IF(C13=0,0,C6/C13))</f>
        <v/>
      </c>
      <c r="D14" s="56">
        <f>IF(D13&lt;0,"N/M",IF(D13=0,0,D6/D13))</f>
        <v/>
      </c>
      <c r="E14" s="56">
        <f>IF(E13&lt;0,"N/M",IF(E13=0,0,E6/E13))</f>
        <v/>
      </c>
      <c r="F14" s="56">
        <f>IF(F13&lt;0,"N/M",IF(F13=0,0,F6/F13))</f>
        <v/>
      </c>
      <c r="G14" s="56">
        <f>IF(G13&lt;0,"N/M",IF(G13=0,0,G6/G13))</f>
        <v/>
      </c>
      <c r="H14" s="56">
        <f>IF(H13&lt;0,"N/M",IF(H13=0,0,H6/H13))</f>
        <v/>
      </c>
    </row>
    <row r="15">
      <c r="B15" s="7" t="inlineStr">
        <is>
          <t>Spread vs WACC (10.25%)</t>
        </is>
      </c>
      <c r="C15" s="15">
        <f>IF(ISTEXT(C14),"N/M",C14-'10. EPV'!$C$13)</f>
        <v/>
      </c>
      <c r="D15" s="15">
        <f>IF(ISTEXT(D14),"N/M",D14-'10. EPV'!$C$13)</f>
        <v/>
      </c>
      <c r="E15" s="15">
        <f>IF(ISTEXT(E14),"N/M",E14-'10. EPV'!$C$13)</f>
        <v/>
      </c>
      <c r="F15" s="15">
        <f>IF(ISTEXT(F14),"N/M",F14-'10. EPV'!$C$13)</f>
        <v/>
      </c>
      <c r="G15" s="15">
        <f>IF(ISTEXT(G14),"N/M",G14-'10. EPV'!$C$13)</f>
        <v/>
      </c>
      <c r="H15" s="15">
        <f>IF(ISTEXT(H14),"N/M",H14-'10. EPV'!$C$13)</f>
        <v/>
      </c>
    </row>
    <row r="16">
      <c r="B16" s="7" t="inlineStr">
        <is>
          <t>WACC (referencia)</t>
        </is>
      </c>
      <c r="C16" s="62">
        <f>'10. EPV'!C13</f>
        <v/>
      </c>
    </row>
    <row r="18">
      <c r="B18" s="44" t="n"/>
      <c r="C18" s="44" t="n"/>
      <c r="D18" s="44" t="n"/>
      <c r="E18" s="44" t="n"/>
      <c r="F18" s="44" t="n"/>
      <c r="G18" s="44" t="n"/>
      <c r="H18" s="44" t="n"/>
    </row>
    <row r="19">
      <c r="B19" s="5" t="inlineStr">
        <is>
          <t>SECCIÓN 2: MARGINAL ROIC (DELTAS)</t>
        </is>
      </c>
      <c r="C19" s="6" t="n"/>
      <c r="D19" s="6" t="n"/>
      <c r="E19" s="6" t="n"/>
      <c r="F19" s="6" t="n"/>
      <c r="G19" s="6" t="n"/>
      <c r="H19" s="6" t="n"/>
    </row>
    <row r="20">
      <c r="B20" s="7" t="inlineStr">
        <is>
          <t>ΔNOPAT</t>
        </is>
      </c>
      <c r="C20" s="35" t="inlineStr">
        <is>
          <t>-</t>
        </is>
      </c>
      <c r="D20" s="14">
        <f>D6-C6</f>
        <v/>
      </c>
      <c r="E20" s="14">
        <f>E6-D6</f>
        <v/>
      </c>
      <c r="F20" s="14">
        <f>F6-E6</f>
        <v/>
      </c>
      <c r="G20" s="14">
        <f>G6-F6</f>
        <v/>
      </c>
      <c r="H20" s="14">
        <f>H6-G6</f>
        <v/>
      </c>
    </row>
    <row r="21">
      <c r="B21" s="7" t="inlineStr">
        <is>
          <t>ΔInvested Capital</t>
        </is>
      </c>
      <c r="C21" s="35" t="inlineStr">
        <is>
          <t>-</t>
        </is>
      </c>
      <c r="D21" s="14">
        <f>D13-C13</f>
        <v/>
      </c>
      <c r="E21" s="14">
        <f>E13-D13</f>
        <v/>
      </c>
      <c r="F21" s="14">
        <f>F13-E13</f>
        <v/>
      </c>
      <c r="G21" s="14">
        <f>G13-F13</f>
        <v/>
      </c>
      <c r="H21" s="14">
        <f>H13-G13</f>
        <v/>
      </c>
    </row>
    <row r="22">
      <c r="B22" s="40" t="inlineStr">
        <is>
          <t>ROIC Marginal</t>
        </is>
      </c>
      <c r="C22" s="63" t="inlineStr">
        <is>
          <t>-</t>
        </is>
      </c>
      <c r="D22" s="56">
        <f>IF(D21&lt;0,"N/M",IF(D21=0,0,D20/D21))</f>
        <v/>
      </c>
      <c r="E22" s="56">
        <f>IF(E21&lt;0,"N/M",IF(E21=0,0,E20/E21))</f>
        <v/>
      </c>
      <c r="F22" s="56">
        <f>IF(F21&lt;0,"N/M",IF(F21=0,0,F20/F21))</f>
        <v/>
      </c>
      <c r="G22" s="56">
        <f>IF(G21&lt;0,"N/M",IF(G21=0,0,G20/G21))</f>
        <v/>
      </c>
      <c r="H22" s="56">
        <f>IF(H21&lt;0,"N/M",IF(H21=0,0,H20/H21))</f>
        <v/>
      </c>
    </row>
    <row r="24">
      <c r="B24" s="44" t="n"/>
      <c r="C24" s="44" t="n"/>
      <c r="D24" s="44" t="n"/>
      <c r="E24" s="44" t="n"/>
      <c r="F24" s="44" t="n"/>
      <c r="G24" s="44" t="n"/>
      <c r="H24" s="44" t="n"/>
    </row>
    <row r="25">
      <c r="B25" s="5" t="inlineStr">
        <is>
          <t>SECCIÓN 3: MARGINAL ROIC — ACCUMULATED GROWTH CAPEX</t>
        </is>
      </c>
      <c r="C25" s="6" t="n"/>
      <c r="D25" s="6" t="n"/>
      <c r="E25" s="6" t="n"/>
      <c r="F25" s="6" t="n"/>
      <c r="G25" s="6" t="n"/>
      <c r="H25" s="6" t="n"/>
    </row>
    <row r="26">
      <c r="B26" s="24" t="inlineStr">
        <is>
          <t>Growth CapEx (CapEx − D&amp;A)</t>
        </is>
      </c>
      <c r="C26" s="14">
        <f>MAX(0,ABS('4. CF'!C14)-'2. IS'!C10)</f>
        <v/>
      </c>
      <c r="D26" s="14">
        <f>MAX(0,ABS('4. CF'!D14)-'2. IS'!D10)</f>
        <v/>
      </c>
      <c r="E26" s="14">
        <f>MAX(0,ABS('4. CF'!E14)-'2. IS'!E10)</f>
        <v/>
      </c>
      <c r="F26" s="14">
        <f>MAX(0,ABS('4. CF'!F14)-'2. IS'!F10)</f>
        <v/>
      </c>
      <c r="G26" s="14">
        <f>MAX(0,ABS('4. CF'!G14)-'2. IS'!G10)</f>
        <v/>
      </c>
      <c r="H26" s="14">
        <f>MAX(0,ABS('4. CF'!H14)-'2. IS'!H10)</f>
        <v/>
      </c>
    </row>
    <row r="27">
      <c r="B27" s="24" t="inlineStr">
        <is>
          <t>S&amp;M Growth Expense</t>
        </is>
      </c>
      <c r="C27" s="14">
        <f>0</f>
        <v/>
      </c>
      <c r="D27" s="51">
        <f>'6. S&amp;M Cap'!C31</f>
        <v/>
      </c>
      <c r="E27" s="51">
        <f>'6. S&amp;M Cap'!D31</f>
        <v/>
      </c>
      <c r="F27" s="51">
        <f>'6. S&amp;M Cap'!E31</f>
        <v/>
      </c>
      <c r="G27" s="51">
        <f>'6. S&amp;M Cap'!F31</f>
        <v/>
      </c>
      <c r="H27" s="51">
        <f>'6. S&amp;M Cap'!G31</f>
        <v/>
      </c>
    </row>
    <row r="28">
      <c r="B28" s="24" t="inlineStr">
        <is>
          <t>Accumulated Growth CapEx (2yr rolling)</t>
        </is>
      </c>
      <c r="C28" s="35" t="inlineStr">
        <is>
          <t>-</t>
        </is>
      </c>
      <c r="D28" s="14">
        <f>D26+D27+C26+C27</f>
        <v/>
      </c>
      <c r="E28" s="14">
        <f>E26+E27+D26+D27</f>
        <v/>
      </c>
      <c r="F28" s="14">
        <f>F26+F27+E26+E27</f>
        <v/>
      </c>
      <c r="G28" s="14">
        <f>G26+G27+F26+F27</f>
        <v/>
      </c>
      <c r="H28" s="14">
        <f>H26+H27+G26+G27</f>
        <v/>
      </c>
    </row>
    <row r="29">
      <c r="B29" s="24" t="inlineStr">
        <is>
          <t>ΔNOPAT (2yr)</t>
        </is>
      </c>
      <c r="C29" s="35" t="inlineStr">
        <is>
          <t>-</t>
        </is>
      </c>
      <c r="D29" s="14">
        <f>D6-C6</f>
        <v/>
      </c>
      <c r="E29" s="14">
        <f>E6-D6</f>
        <v/>
      </c>
      <c r="F29" s="14">
        <f>F6-E6</f>
        <v/>
      </c>
      <c r="G29" s="14">
        <f>G6-F6</f>
        <v/>
      </c>
      <c r="H29" s="14">
        <f>H6-G6</f>
        <v/>
      </c>
    </row>
    <row r="30">
      <c r="B30" s="40" t="inlineStr">
        <is>
          <t>Marginal ROIC (Accumulated Growth, 2yr)</t>
        </is>
      </c>
      <c r="C30" s="63" t="inlineStr">
        <is>
          <t>-</t>
        </is>
      </c>
      <c r="D30" s="56">
        <f>IF(D28&lt;=0,0,D29/D28)</f>
        <v/>
      </c>
      <c r="E30" s="56">
        <f>IF(E28&lt;=0,0,E29/E28)</f>
        <v/>
      </c>
      <c r="F30" s="56">
        <f>IF(F28&lt;=0,0,F29/F28)</f>
        <v/>
      </c>
      <c r="G30" s="56">
        <f>IF(G28&lt;=0,0,G29/G28)</f>
        <v/>
      </c>
      <c r="H30" s="56">
        <f>IF(H28&lt;=0,0,H29/H28)</f>
        <v/>
      </c>
    </row>
    <row r="32" ht="30" customHeight="1">
      <c r="B32" s="49" t="inlineStr">
        <is>
          <t>Nota: N/M = Not Meaningful (denominador negativo). 0% = denominador cero o sin growth investment tracked. Standard Marginal ROIC vs Accumulated Growth ROIC pueden diverger por efecto de buybacks, CapEx mantenimiento, o cambios contables.</t>
        </is>
      </c>
    </row>
    <row r="34">
      <c r="B34" s="28" t="inlineStr">
        <is>
          <t>Source: DCE Calculation | DCE Holdings | 03-May-2026</t>
        </is>
      </c>
    </row>
  </sheetData>
  <mergeCells count="4">
    <mergeCell ref="B3:H3"/>
    <mergeCell ref="B32:H32"/>
    <mergeCell ref="B2:H2"/>
    <mergeCell ref="B34:H3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7030A0"/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6" customWidth="1" min="3" max="3"/>
    <col width="18" customWidth="1" min="4" max="4"/>
    <col width="30" customWidth="1" min="5" max="5"/>
  </cols>
  <sheetData>
    <row r="1"/>
    <row r="2">
      <c r="B2" s="19" t="inlineStr">
        <is>
          <t>IMPLIED IRR — Lululemon Athletica Inc.</t>
        </is>
      </c>
    </row>
    <row r="3">
      <c r="B3" s="20" t="inlineStr">
        <is>
          <t>En $M USD | Marco enterprise: EV → Distribuciones → Reinversión → Crecimiento → Múltiplo → Lever to Equity</t>
        </is>
      </c>
    </row>
    <row r="4"/>
    <row r="5">
      <c r="B5" s="5" t="inlineStr">
        <is>
          <t>SECCIÓN 1: ENTERPRISE VALUE</t>
        </is>
      </c>
      <c r="C5" s="6" t="n"/>
      <c r="D5" s="6" t="n"/>
      <c r="E5" s="6" t="n"/>
    </row>
    <row r="6">
      <c r="B6" s="7" t="inlineStr">
        <is>
          <t>Market Cap ($M)</t>
        </is>
      </c>
      <c r="C6" s="51">
        <f>'1. Overview'!C19</f>
        <v/>
      </c>
    </row>
    <row r="7">
      <c r="B7" s="7" t="inlineStr">
        <is>
          <t>(+) Total Deuda ($M)</t>
        </is>
      </c>
      <c r="C7" s="51">
        <f>'3. BS'!H37</f>
        <v/>
      </c>
    </row>
    <row r="8">
      <c r="B8" s="7" t="inlineStr">
        <is>
          <t>(+) Lease Liabilities ($M)</t>
        </is>
      </c>
      <c r="C8" s="14">
        <f>'3. BS'!H23+'3. BS'!H28</f>
        <v/>
      </c>
    </row>
    <row r="9">
      <c r="B9" s="7" t="inlineStr">
        <is>
          <t>(−) Cash &amp; STI ($M)</t>
        </is>
      </c>
      <c r="C9" s="14">
        <f>-'3. BS'!H7</f>
        <v/>
      </c>
    </row>
    <row r="10">
      <c r="B10" s="20" t="inlineStr">
        <is>
          <t>Enterprise Value ($M)</t>
        </is>
      </c>
      <c r="C10" s="25">
        <f>SUM(C6:C9)</f>
        <v/>
      </c>
    </row>
    <row r="11"/>
    <row r="12">
      <c r="B12" s="5" t="inlineStr">
        <is>
          <t>SECCIÓN 2: NOPAT AJUSTADO (Normalizado)</t>
        </is>
      </c>
      <c r="C12" s="6" t="n"/>
      <c r="D12" s="6" t="n"/>
      <c r="E12" s="6" t="n"/>
    </row>
    <row r="13">
      <c r="B13" s="20" t="inlineStr">
        <is>
          <t>NOPAT Ajustado Normalizado ($M)</t>
        </is>
      </c>
      <c r="C13" s="64">
        <f>'9. NOPAT'!J26</f>
        <v/>
      </c>
    </row>
    <row r="14">
      <c r="B14" s="7" t="inlineStr">
        <is>
          <t>NOPAT Multiple (EV / NOPAT)</t>
        </is>
      </c>
      <c r="C14" s="17">
        <f>C10/C13</f>
        <v/>
      </c>
    </row>
    <row r="15"/>
    <row r="16">
      <c r="B16" s="5" t="inlineStr">
        <is>
          <t>SECCIÓN 3: DISTRIBUCIONES</t>
        </is>
      </c>
      <c r="C16" s="6" t="n"/>
      <c r="D16" s="6" t="n"/>
      <c r="E16" s="6" t="n"/>
    </row>
    <row r="17">
      <c r="B17" s="7" t="inlineStr">
        <is>
          <t>Dividendos Pagados (FY2025)</t>
        </is>
      </c>
      <c r="C17" s="13" t="n">
        <v>0</v>
      </c>
      <c r="D17" s="10" t="inlineStr">
        <is>
          <t>LULU no paga dividendos</t>
        </is>
      </c>
    </row>
    <row r="18">
      <c r="B18" s="7" t="inlineStr">
        <is>
          <t>(+) Buybacks Sostenibles (DP16)</t>
        </is>
      </c>
      <c r="C18" s="13" t="n">
        <v>727</v>
      </c>
      <c r="D18" s="10" t="inlineStr">
        <is>
          <t>Promedio FY2023-FY2025 ($444+$559+$1,180)/3</t>
        </is>
      </c>
    </row>
    <row r="19">
      <c r="B19" s="7" t="inlineStr">
        <is>
          <t>(+) Gasto por Intereses (pre-tax)</t>
        </is>
      </c>
      <c r="C19" s="13" t="n">
        <v>0</v>
      </c>
      <c r="D19" s="10" t="inlineStr">
        <is>
          <t>Sin deuda LP</t>
        </is>
      </c>
    </row>
    <row r="20">
      <c r="B20" s="20" t="inlineStr">
        <is>
          <t>Total Distribuciones</t>
        </is>
      </c>
      <c r="C20" s="25">
        <f>SUM(C17:C19)</f>
        <v/>
      </c>
    </row>
    <row r="21">
      <c r="B21" s="20" t="inlineStr">
        <is>
          <t>Distribution Yield (Dist / EV)</t>
        </is>
      </c>
      <c r="C21" s="55">
        <f>C20/C10</f>
        <v/>
      </c>
    </row>
    <row r="22">
      <c r="B22" s="7" t="inlineStr">
        <is>
          <t>Distribution Rate (Dist / NOPAT)</t>
        </is>
      </c>
      <c r="C22" s="15">
        <f>C20/C13</f>
        <v/>
      </c>
    </row>
    <row r="23"/>
    <row r="24">
      <c r="B24" s="5" t="inlineStr">
        <is>
          <t>SECCIÓN 4: REINVERSIÓN (bottom-up)</t>
        </is>
      </c>
      <c r="C24" s="6" t="n"/>
      <c r="D24" s="6" t="n"/>
      <c r="E24" s="6" t="n"/>
    </row>
    <row r="25">
      <c r="B25" s="7" t="inlineStr">
        <is>
          <t>CapEx Total (FY2025)</t>
        </is>
      </c>
      <c r="C25" s="14">
        <f>ABS('4. CF'!H14)</f>
        <v/>
      </c>
    </row>
    <row r="26">
      <c r="B26" s="7" t="inlineStr">
        <is>
          <t>(−) Maintenance CapEx (D&amp;A proxy)</t>
        </is>
      </c>
      <c r="C26" s="14">
        <f>-'2. IS'!H10</f>
        <v/>
      </c>
    </row>
    <row r="27">
      <c r="B27" s="7" t="inlineStr">
        <is>
          <t>Growth CapEx</t>
        </is>
      </c>
      <c r="C27" s="14">
        <f>MAX(0,C25+C26)</f>
        <v/>
      </c>
    </row>
    <row r="28">
      <c r="B28" s="7" t="inlineStr">
        <is>
          <t>(+) Δ Capital de Trabajo (est.)</t>
        </is>
      </c>
      <c r="C28" s="14">
        <f>MAX(0,-'4. CF'!H11)</f>
        <v/>
      </c>
    </row>
    <row r="29">
      <c r="B29" s="7" t="inlineStr">
        <is>
          <t>(+) S&amp;M Growth Expense</t>
        </is>
      </c>
      <c r="C29" s="14">
        <f>MAX(0,'6. S&amp;M Cap'!G31)</f>
        <v/>
      </c>
    </row>
    <row r="30">
      <c r="B30" s="7" t="inlineStr">
        <is>
          <t>(+) R&amp;D Growth Expense (N/A)</t>
        </is>
      </c>
      <c r="C30" s="13" t="n">
        <v>0</v>
      </c>
    </row>
    <row r="31">
      <c r="B31" s="20" t="inlineStr">
        <is>
          <t>Total Reinversión</t>
        </is>
      </c>
      <c r="C31" s="25">
        <f>C27+C28+C29+C30</f>
        <v/>
      </c>
    </row>
    <row r="32">
      <c r="B32" s="20" t="inlineStr">
        <is>
          <t>Reinvestment Rate (Reinv / NOPAT)</t>
        </is>
      </c>
      <c r="C32" s="55">
        <f>C31/C13</f>
        <v/>
      </c>
    </row>
    <row r="33"/>
    <row r="34">
      <c r="B34" s="5" t="inlineStr">
        <is>
          <t>SECCIÓN 5: CRECIMIENTO</t>
        </is>
      </c>
      <c r="C34" s="6" t="n"/>
      <c r="D34" s="6" t="n"/>
      <c r="E34" s="6" t="n"/>
    </row>
    <row r="35">
      <c r="B35" s="7" t="inlineStr">
        <is>
          <t>ROIC Seleccionado (3yr avg, IC&gt;0)</t>
        </is>
      </c>
      <c r="C35" s="15">
        <f>AVERAGE('11. ROIC'!F14,'11. ROIC'!G14,'11. ROIC'!H14)</f>
        <v/>
      </c>
    </row>
    <row r="36">
      <c r="B36" s="7" t="inlineStr">
        <is>
          <t>Crecimiento por Reinversión (ReinvRate × ROIC)</t>
        </is>
      </c>
      <c r="C36" s="15">
        <f>C32*C35</f>
        <v/>
      </c>
    </row>
    <row r="37">
      <c r="B37" s="7" t="inlineStr">
        <is>
          <t>Crecimiento Orgánico (DP17)</t>
        </is>
      </c>
      <c r="C37" s="43" t="n">
        <v>0.02</v>
      </c>
    </row>
    <row r="38">
      <c r="B38" s="20" t="inlineStr">
        <is>
          <t>Total Crecimiento</t>
        </is>
      </c>
      <c r="C38" s="55">
        <f>C36+C37</f>
        <v/>
      </c>
    </row>
    <row r="39"/>
    <row r="40">
      <c r="B40" s="5" t="inlineStr">
        <is>
          <t>SECCIÓN 6: COMPORTAMIENTO DEL MÚLTIPLO</t>
        </is>
      </c>
      <c r="C40" s="6" t="n"/>
      <c r="D40" s="6" t="n"/>
      <c r="E40" s="6" t="n"/>
    </row>
    <row r="41">
      <c r="B41" s="7" t="inlineStr">
        <is>
          <t>NOPAT Multiple (EV / NOPAT) — Actual</t>
        </is>
      </c>
      <c r="C41" s="17">
        <f>C14</f>
        <v/>
      </c>
    </row>
    <row r="42">
      <c r="B42" s="7" t="inlineStr">
        <is>
          <t>Investment Horizon (años)</t>
        </is>
      </c>
      <c r="C42" s="39" t="n">
        <v>5</v>
      </c>
    </row>
    <row r="43">
      <c r="B43" s="7" t="inlineStr">
        <is>
          <t>Assumed Exit Multiple (DP15: 20x P/E ≈ MCap/NI)</t>
        </is>
      </c>
      <c r="C43" s="65" t="n">
        <v>20</v>
      </c>
    </row>
    <row r="44">
      <c r="B44" s="7" t="inlineStr">
        <is>
          <t>Multiple Expansion / Contraction</t>
        </is>
      </c>
      <c r="C44" s="15">
        <f>(C43-C41)/C41</f>
        <v/>
      </c>
    </row>
    <row r="45">
      <c r="B45" s="20" t="inlineStr">
        <is>
          <t>Impacto Anualizado del Múltiplo</t>
        </is>
      </c>
      <c r="C45" s="55">
        <f>(C43/C41)^(1/C42)-1</f>
        <v/>
      </c>
    </row>
    <row r="46"/>
    <row r="47">
      <c r="B47" s="5" t="inlineStr">
        <is>
          <t>SECCIÓN 7: RETORNOS Y MARGEN DE SEGURIDAD</t>
        </is>
      </c>
      <c r="C47" s="6" t="n"/>
      <c r="D47" s="6" t="n"/>
      <c r="E47" s="6" t="n"/>
    </row>
    <row r="48">
      <c r="B48" s="7" t="inlineStr">
        <is>
          <t>Retorno Total Enterprise (Dist + Crec + Múltiplo)</t>
        </is>
      </c>
      <c r="C48" s="15">
        <f>C21+C38+C45</f>
        <v/>
      </c>
    </row>
    <row r="49">
      <c r="B49" s="7" t="inlineStr">
        <is>
          <t>D/E (Mercado)</t>
        </is>
      </c>
      <c r="C49" s="15">
        <f>(C7+C8)/C6</f>
        <v/>
      </c>
    </row>
    <row r="50">
      <c r="B50" s="7" t="inlineStr">
        <is>
          <t>Net Borrowing Cost</t>
        </is>
      </c>
      <c r="C50" s="15">
        <f>IFERROR(C19*(1-'9. NOPAT'!C6)/(C7+C8),0)</f>
        <v/>
      </c>
    </row>
    <row r="51">
      <c r="B51" s="40" t="inlineStr">
        <is>
          <t>Retorno Total al Accionista (Equity)</t>
        </is>
      </c>
      <c r="C51" s="56">
        <f>C48+C49*(C48-C50)</f>
        <v/>
      </c>
    </row>
    <row r="52">
      <c r="B52" s="7" t="inlineStr">
        <is>
          <t>Hurdle Rate (DP9)</t>
        </is>
      </c>
      <c r="C52" s="43" t="n">
        <v>0.12</v>
      </c>
    </row>
    <row r="53">
      <c r="B53" s="40" t="inlineStr">
        <is>
          <t>Margen de Seguridad (MoS = Ret − Hurdle)</t>
        </is>
      </c>
      <c r="C53" s="56">
        <f>C51-C52</f>
        <v/>
      </c>
    </row>
    <row r="54"/>
    <row r="55">
      <c r="B55" s="41" t="inlineStr">
        <is>
          <t>EXCESO DE CAJA:</t>
        </is>
      </c>
    </row>
    <row r="56">
      <c r="B56" s="7" t="inlineStr">
        <is>
          <t>NOPAT − Reinversión − Distribuciones</t>
        </is>
      </c>
      <c r="C56" s="14">
        <f>C13-C31-C20</f>
        <v/>
      </c>
    </row>
    <row r="57">
      <c r="B57" s="7" t="inlineStr">
        <is>
          <t>Exceso Caja % NOPAT</t>
        </is>
      </c>
      <c r="C57" s="15">
        <f>C56/C13</f>
        <v/>
      </c>
    </row>
    <row r="58"/>
    <row r="59">
      <c r="B59" s="28" t="inlineStr">
        <is>
          <t>Source: DCE Calculation | DCE Holdings | 03-May-2026</t>
        </is>
      </c>
    </row>
    <row r="60"/>
  </sheetData>
  <mergeCells count="3">
    <mergeCell ref="B3:E3"/>
    <mergeCell ref="B2:E2"/>
    <mergeCell ref="B59:E5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B2642"/>
    <outlinePr summaryBelow="1" summaryRight="1"/>
    <pageSetUpPr/>
  </sheetPr>
  <dimension ref="B2:E52"/>
  <sheetViews>
    <sheetView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0" customWidth="1" min="3" max="3"/>
    <col width="30" customWidth="1" min="4" max="4"/>
    <col width="65" customWidth="1" min="5" max="5"/>
  </cols>
  <sheetData>
    <row r="2">
      <c r="B2" s="19" t="inlineStr">
        <is>
          <t>RESUMEN DE VALORACIÓN — Lululemon Athletica Inc. | DCE Holdings</t>
        </is>
      </c>
    </row>
    <row r="3">
      <c r="B3" s="20" t="inlineStr">
        <is>
          <t>Fecha de Valoración: 03-May-2026 | Precio: $137.70</t>
        </is>
      </c>
    </row>
    <row r="5">
      <c r="B5" s="5" t="inlineStr">
        <is>
          <t>ESCALERA COLUMBIA</t>
        </is>
      </c>
      <c r="C5" s="6" t="n"/>
      <c r="D5" s="6" t="n"/>
      <c r="E5" s="6" t="n"/>
    </row>
    <row r="6">
      <c r="B6" s="20" t="inlineStr">
        <is>
          <t>Reproduction Value / acción</t>
        </is>
      </c>
      <c r="C6" s="66">
        <f>'8. RV'!E40</f>
        <v/>
      </c>
    </row>
    <row r="7">
      <c r="B7" s="20" t="inlineStr">
        <is>
          <t>EPV / acción</t>
        </is>
      </c>
      <c r="C7" s="66">
        <f>'10. EPV'!C31</f>
        <v/>
      </c>
    </row>
    <row r="8">
      <c r="B8" s="41" t="inlineStr">
        <is>
          <t>Precio Actual</t>
        </is>
      </c>
      <c r="C8" s="67">
        <f>'1. Overview'!C17</f>
        <v/>
      </c>
    </row>
    <row r="9">
      <c r="B9" s="7" t="inlineStr">
        <is>
          <t>EPV / RV ratio</t>
        </is>
      </c>
      <c r="C9" s="17">
        <f>C7/C6</f>
        <v/>
      </c>
    </row>
    <row r="10">
      <c r="B10" s="7" t="inlineStr">
        <is>
          <t>Precio / EPV ratio</t>
        </is>
      </c>
      <c r="C10" s="17">
        <f>C8/C7</f>
        <v/>
      </c>
    </row>
    <row r="11">
      <c r="B11" s="7" t="inlineStr">
        <is>
          <t>Implied IRR (Equity)</t>
        </is>
      </c>
      <c r="C11" s="62">
        <f>'12. Implied IRR'!C51</f>
        <v/>
      </c>
    </row>
    <row r="12">
      <c r="B12" s="7" t="inlineStr">
        <is>
          <t>Hurdle Rate</t>
        </is>
      </c>
      <c r="C12" s="43" t="n">
        <v>0.12</v>
      </c>
    </row>
    <row r="14">
      <c r="B14" s="5" t="inlineStr">
        <is>
          <t>MARGEN DE SEGURIDAD</t>
        </is>
      </c>
      <c r="C14" s="6" t="n"/>
      <c r="D14" s="6" t="n"/>
      <c r="E14" s="6" t="n"/>
    </row>
    <row r="15">
      <c r="B15" s="20" t="inlineStr">
        <is>
          <t>MoS EPV = (EPV − Price) / EPV</t>
        </is>
      </c>
      <c r="C15" s="68">
        <f>'10. EPV'!C36</f>
        <v/>
      </c>
    </row>
    <row r="16">
      <c r="B16" s="20" t="inlineStr">
        <is>
          <t>MoS Implied IRR = Ret Equity − Hurdle</t>
        </is>
      </c>
      <c r="C16" s="68">
        <f>'12. Implied IRR'!C53</f>
        <v/>
      </c>
    </row>
    <row r="18">
      <c r="B18" s="5" t="inlineStr">
        <is>
          <t>WACC / ROIC / SPREAD</t>
        </is>
      </c>
      <c r="C18" s="6" t="n"/>
      <c r="D18" s="6" t="n"/>
      <c r="E18" s="6" t="n"/>
    </row>
    <row r="19">
      <c r="B19" s="7" t="inlineStr">
        <is>
          <t>WACC</t>
        </is>
      </c>
      <c r="C19" s="62">
        <f>'10. EPV'!C13</f>
        <v/>
      </c>
    </row>
    <row r="20">
      <c r="B20" s="7" t="inlineStr">
        <is>
          <t>ROIC FY2025</t>
        </is>
      </c>
      <c r="C20" s="15">
        <f>IF(ISTEXT('11. ROIC'!H14),"N/M",'11. ROIC'!H14)</f>
        <v/>
      </c>
    </row>
    <row r="21">
      <c r="B21" s="7" t="inlineStr">
        <is>
          <t>Spread (ROIC − WACC)</t>
        </is>
      </c>
      <c r="C21" s="62">
        <f>IF(ISTEXT('11. ROIC'!H14),"N/M",'11. ROIC'!H14-'10. EPV'!C13)</f>
        <v/>
      </c>
    </row>
    <row r="22">
      <c r="B22" s="7" t="inlineStr">
        <is>
          <t>FCF Margin</t>
        </is>
      </c>
      <c r="C22" s="15">
        <f>'4. CF'!H22/'2. IS'!H5</f>
        <v/>
      </c>
    </row>
    <row r="23">
      <c r="B23" s="7" t="inlineStr">
        <is>
          <t>Operating Margin</t>
        </is>
      </c>
      <c r="C23" s="15">
        <f>'2. IS'!H21</f>
        <v/>
      </c>
    </row>
    <row r="25">
      <c r="B25" s="41" t="inlineStr">
        <is>
          <t>NOTAS:</t>
        </is>
      </c>
    </row>
    <row r="26" ht="28" customHeight="1">
      <c r="B26" s="69" t="inlineStr">
        <is>
          <t>• Lululemon es una compañía asset-light premium athleisure: el moat reside en marca y comunidad, no en activos físicos. Por tanto, EPV &gt;&gt; RV es esperable.</t>
        </is>
      </c>
    </row>
    <row r="27" ht="28" customHeight="1">
      <c r="B27" s="69" t="inlineStr">
        <is>
          <t>• ROIC sostenido &gt;20% indica franchise value real; la diferencia entre EPV y RV cuantifica el moat brand-driven.</t>
        </is>
      </c>
    </row>
    <row r="28" ht="28" customHeight="1">
      <c r="B28" s="69" t="inlineStr">
        <is>
          <t>• Mirror impairment FY2023 ($408M) normalizado — fue una M&amp;A fallida, no parte del earning power sostenible.</t>
        </is>
      </c>
    </row>
    <row r="29" ht="28" customHeight="1">
      <c r="B29" s="69" t="inlineStr">
        <is>
          <t>• Riesgo principal (DP16): pérdida sostenida de cuota US Women's podría comprimir crecimiento; sensibilizar 18x/22x/25x exit multiple.</t>
        </is>
      </c>
    </row>
    <row r="30" ht="28" customHeight="1">
      <c r="B30" s="69" t="inlineStr">
        <is>
          <t>• Capital Allocation: zero deuda, $1.18B buybacks FY2025 (record); flexibilidad financiera total para responder a shocks.</t>
        </is>
      </c>
    </row>
    <row r="32">
      <c r="B32" s="5" t="inlineStr">
        <is>
          <t>RESUMEN DE DECISIONES (Decision Points)</t>
        </is>
      </c>
      <c r="C32" s="6" t="n"/>
      <c r="D32" s="6" t="n"/>
      <c r="E32" s="6" t="n"/>
    </row>
    <row r="33">
      <c r="B33" s="21" t="inlineStr">
        <is>
          <t>#</t>
        </is>
      </c>
      <c r="C33" s="21" t="inlineStr">
        <is>
          <t>Decision</t>
        </is>
      </c>
      <c r="D33" s="21" t="inlineStr">
        <is>
          <t>Value Chosen</t>
        </is>
      </c>
      <c r="E33" s="21" t="inlineStr">
        <is>
          <t>Rationale</t>
        </is>
      </c>
    </row>
    <row r="34">
      <c r="B34" s="70" t="inlineStr">
        <is>
          <t>DP1</t>
        </is>
      </c>
      <c r="C34" s="7" t="inlineStr">
        <is>
          <t>S&amp;M Proxy</t>
        </is>
      </c>
      <c r="D34" s="8" t="inlineStr">
        <is>
          <t>Marketing/Brand Spend (~3.3% Rev)</t>
        </is>
      </c>
      <c r="E34" s="49" t="inlineStr">
        <is>
          <t>Estimación basada en peer apparel; LULU no desglosa explícito</t>
        </is>
      </c>
    </row>
    <row r="35">
      <c r="B35" s="70" t="inlineStr">
        <is>
          <t>DP2</t>
        </is>
      </c>
      <c r="C35" s="7" t="inlineStr">
        <is>
          <t>R&amp;D Capitalization</t>
        </is>
      </c>
      <c r="D35" s="8" t="inlineStr">
        <is>
          <t>N/A</t>
        </is>
      </c>
      <c r="E35" s="49" t="inlineStr">
        <is>
          <t>LULU no reporta R&amp;D separado; producto/diseño implícito en SG&amp;A</t>
        </is>
      </c>
    </row>
    <row r="36">
      <c r="B36" s="70" t="inlineStr">
        <is>
          <t>DP3</t>
        </is>
      </c>
      <c r="C36" s="7" t="inlineStr">
        <is>
          <t>S&amp;M Useful Life</t>
        </is>
      </c>
      <c r="D36" s="8" t="inlineStr">
        <is>
          <t>3 años</t>
        </is>
      </c>
      <c r="E36" s="49" t="inlineStr">
        <is>
          <t>Ciclo athleisure: brand recall y product LTV ~3yr</t>
        </is>
      </c>
    </row>
    <row r="37">
      <c r="B37" s="70" t="inlineStr">
        <is>
          <t>DP4</t>
        </is>
      </c>
      <c r="C37" s="7" t="inlineStr">
        <is>
          <t>R&amp;D Useful Life</t>
        </is>
      </c>
      <c r="D37" s="8" t="inlineStr">
        <is>
          <t>N/A</t>
        </is>
      </c>
      <c r="E37" s="49" t="inlineStr">
        <is>
          <t>Sigue DP2</t>
        </is>
      </c>
    </row>
    <row r="38">
      <c r="B38" s="70" t="inlineStr">
        <is>
          <t>DP5</t>
        </is>
      </c>
      <c r="C38" s="7" t="inlineStr">
        <is>
          <t>SBC Treatment</t>
        </is>
      </c>
      <c r="D38" s="8" t="inlineStr">
        <is>
          <t>Case A — ya en SG&amp;A</t>
        </is>
      </c>
      <c r="E38" s="49" t="inlineStr">
        <is>
          <t>No restar de nuevo en NOPAT</t>
        </is>
      </c>
    </row>
    <row r="39">
      <c r="B39" s="70" t="inlineStr">
        <is>
          <t>DP6</t>
        </is>
      </c>
      <c r="C39" s="7" t="inlineStr">
        <is>
          <t>Ventana Normalización</t>
        </is>
      </c>
      <c r="D39" s="8" t="inlineStr">
        <is>
          <t>6yr (FY2020–FY2025)</t>
        </is>
      </c>
      <c r="E39" s="49" t="inlineStr">
        <is>
          <t>Adoptado del PFM Hespérides</t>
        </is>
      </c>
    </row>
    <row r="40">
      <c r="B40" s="70" t="inlineStr">
        <is>
          <t>DP7</t>
        </is>
      </c>
      <c r="C40" s="7" t="inlineStr">
        <is>
          <t>Items Normalizados</t>
        </is>
      </c>
      <c r="D40" s="8" t="inlineStr">
        <is>
          <t>Mirror impair FY2023 $408M</t>
        </is>
      </c>
      <c r="E40" s="49" t="inlineStr">
        <is>
          <t>M&amp;A fallida; eliminar para earning power sostenible</t>
        </is>
      </c>
    </row>
    <row r="41">
      <c r="B41" s="70" t="inlineStr">
        <is>
          <t>DP8</t>
        </is>
      </c>
      <c r="C41" s="7" t="inlineStr">
        <is>
          <t>Tax Rate Normalizado</t>
        </is>
      </c>
      <c r="D41" s="8" t="inlineStr">
        <is>
          <t>28%</t>
        </is>
      </c>
      <c r="E41" s="49" t="inlineStr">
        <is>
          <t>Adoptado del PFM (median ETR + uplift)</t>
        </is>
      </c>
    </row>
    <row r="42">
      <c r="B42" s="70" t="inlineStr">
        <is>
          <t>DP9</t>
        </is>
      </c>
      <c r="C42" s="7" t="inlineStr">
        <is>
          <t>Lease Treatment</t>
        </is>
      </c>
      <c r="D42" s="8" t="inlineStr">
        <is>
          <t>ASC 842 aplicado</t>
        </is>
      </c>
      <c r="E42" s="49" t="inlineStr">
        <is>
          <t>Usar valores reportados; no double-capitalize</t>
        </is>
      </c>
    </row>
    <row r="43">
      <c r="B43" s="70" t="inlineStr">
        <is>
          <t>DP10</t>
        </is>
      </c>
      <c r="C43" s="7" t="inlineStr">
        <is>
          <t>Non-Operating Assets</t>
        </is>
      </c>
      <c r="D43" s="8" t="inlineStr">
        <is>
          <t>Excess Cash ~$1,585M</t>
        </is>
      </c>
      <c r="E43" s="49" t="inlineStr">
        <is>
          <t>Cash − 2% Revenue buffer</t>
        </is>
      </c>
    </row>
    <row r="44">
      <c r="B44" s="70" t="inlineStr">
        <is>
          <t>DP11</t>
        </is>
      </c>
      <c r="C44" s="7" t="inlineStr">
        <is>
          <t>WACC Inputs</t>
        </is>
      </c>
      <c r="D44" s="8" t="inlineStr">
        <is>
          <t>Rf 4.39% + β 1.30 × ERP 4.50% = 10.25%</t>
        </is>
      </c>
      <c r="E44" s="49" t="inlineStr">
        <is>
          <t>Zero debt → WACC = Ke</t>
        </is>
      </c>
    </row>
    <row r="45">
      <c r="B45" s="70" t="inlineStr">
        <is>
          <t>DP12</t>
        </is>
      </c>
      <c r="C45" s="7" t="inlineStr">
        <is>
          <t>Goodwill RV</t>
        </is>
      </c>
      <c r="D45" s="8" t="inlineStr">
        <is>
          <t>0%</t>
        </is>
      </c>
      <c r="E45" s="49" t="inlineStr">
        <is>
          <t>Brand reconstruido via S&amp;M Asset; evitar doble conteo</t>
        </is>
      </c>
    </row>
    <row r="46">
      <c r="B46" s="70" t="inlineStr">
        <is>
          <t>DP13</t>
        </is>
      </c>
      <c r="C46" s="7" t="inlineStr">
        <is>
          <t>Intangibles RV</t>
        </is>
      </c>
      <c r="D46" s="8" t="inlineStr">
        <is>
          <t>30%</t>
        </is>
      </c>
      <c r="E46" s="49" t="inlineStr">
        <is>
          <t>BS contiene residuos Mirror; brand real captado en S&amp;M</t>
        </is>
      </c>
    </row>
    <row r="47">
      <c r="B47" s="70" t="inlineStr">
        <is>
          <t>DP14</t>
        </is>
      </c>
      <c r="C47" s="7" t="inlineStr">
        <is>
          <t>DTA RV</t>
        </is>
      </c>
      <c r="D47" s="8" t="inlineStr">
        <is>
          <t>50%</t>
        </is>
      </c>
      <c r="E47" s="49" t="inlineStr">
        <is>
          <t>Default DCE para realización moderada</t>
        </is>
      </c>
    </row>
    <row r="48">
      <c r="B48" s="70" t="inlineStr">
        <is>
          <t>DP15</t>
        </is>
      </c>
      <c r="C48" s="7" t="inlineStr">
        <is>
          <t>Exit Multiple</t>
        </is>
      </c>
      <c r="D48" s="8" t="inlineStr">
        <is>
          <t>22x P/E</t>
        </is>
      </c>
      <c r="E48" s="49" t="inlineStr">
        <is>
          <t>Mean reversion forward; sensibilidad 18x/22x/25x</t>
        </is>
      </c>
    </row>
    <row r="49">
      <c r="B49" s="70" t="inlineStr">
        <is>
          <t>DP16</t>
        </is>
      </c>
      <c r="C49" s="7" t="inlineStr">
        <is>
          <t>Adverse Shock</t>
        </is>
      </c>
      <c r="D49" s="8" t="inlineStr">
        <is>
          <t>Tipo A — Demand Shock</t>
        </is>
      </c>
      <c r="E49" s="49" t="inlineStr">
        <is>
          <t>Pérdida US Women's &gt;300bps trigger; rev →0-2%, op margin compresión 200-300bps</t>
        </is>
      </c>
    </row>
    <row r="52">
      <c r="B52" s="28" t="inlineStr">
        <is>
          <t>Source: DCE Calculation | Modelo construido bajo Columbia Framework v4.1 | DCE Holdings | 03-May-2026</t>
        </is>
      </c>
    </row>
  </sheetData>
  <mergeCells count="8">
    <mergeCell ref="B26:E26"/>
    <mergeCell ref="B27:E27"/>
    <mergeCell ref="B52:E52"/>
    <mergeCell ref="B30:E30"/>
    <mergeCell ref="B29:E29"/>
    <mergeCell ref="B3:E3"/>
    <mergeCell ref="B2:E2"/>
    <mergeCell ref="B28:E2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595959"/>
    <outlinePr summaryBelow="1" summaryRight="1"/>
    <pageSetUpPr/>
  </sheetPr>
  <dimension ref="B2:D50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  <col width="30" customWidth="1" min="3" max="3"/>
    <col width="30" customWidth="1" min="4" max="4"/>
  </cols>
  <sheetData>
    <row r="2">
      <c r="B2" s="19" t="inlineStr">
        <is>
          <t>AUDIT LOG — Lululemon Athletica Inc. Columbia Model</t>
        </is>
      </c>
    </row>
    <row r="3">
      <c r="B3" s="20" t="inlineStr">
        <is>
          <t>Verificaciones de integridad en 6 capas (A-F)</t>
        </is>
      </c>
    </row>
    <row r="4">
      <c r="B4" s="21" t="inlineStr">
        <is>
          <t>Check</t>
        </is>
      </c>
      <c r="C4" s="21" t="inlineStr">
        <is>
          <t>Result</t>
        </is>
      </c>
      <c r="D4" s="21" t="inlineStr">
        <is>
          <t>Notes</t>
        </is>
      </c>
    </row>
    <row r="5">
      <c r="B5" s="5" t="inlineStr">
        <is>
          <t>LAYER A: STRUCTURAL INTEGRITY</t>
        </is>
      </c>
      <c r="C5" s="6" t="n"/>
      <c r="D5" s="6" t="n"/>
    </row>
    <row r="6">
      <c r="B6" s="7" t="inlineStr">
        <is>
          <t>14 sheets present</t>
        </is>
      </c>
      <c r="C6" s="45" t="inlineStr">
        <is>
          <t>✓</t>
        </is>
      </c>
      <c r="D6" s="10" t="inlineStr">
        <is>
          <t>Overview, IS, BS, CF, Health, S&amp;M Cap, R&amp;D Cap, RV, NOPAT, EPV, ROIC, Implied IRR, Summary, Audit</t>
        </is>
      </c>
    </row>
    <row r="7">
      <c r="B7" s="7" t="inlineStr">
        <is>
          <t>Tab order correct</t>
        </is>
      </c>
      <c r="C7" s="45" t="inlineStr">
        <is>
          <t>✓</t>
        </is>
      </c>
      <c r="D7" s="10" t="inlineStr">
        <is>
          <t>Numbered prefix 1-14</t>
        </is>
      </c>
    </row>
    <row r="8">
      <c r="B8" s="7" t="inlineStr">
        <is>
          <t>Tab colors per spec</t>
        </is>
      </c>
      <c r="C8" s="45" t="inlineStr">
        <is>
          <t>✓</t>
        </is>
      </c>
      <c r="D8" s="10" t="inlineStr">
        <is>
          <t>NAVY/Blue/Green/Purple/Brown/Gray</t>
        </is>
      </c>
    </row>
    <row r="9">
      <c r="B9" s="7" t="inlineStr">
        <is>
          <t>6 fiscal years (FY2020-FY2025)</t>
        </is>
      </c>
      <c r="C9" s="45" t="inlineStr">
        <is>
          <t>✓</t>
        </is>
      </c>
      <c r="D9" s="10" t="inlineStr">
        <is>
          <t>Per DP6</t>
        </is>
      </c>
    </row>
    <row r="11">
      <c r="B11" s="5" t="inlineStr">
        <is>
          <t>LAYER B: BALANCE SHEET CHECK</t>
        </is>
      </c>
      <c r="C11" s="6" t="n"/>
      <c r="D11" s="6" t="n"/>
    </row>
    <row r="12">
      <c r="B12" s="7" t="inlineStr">
        <is>
          <t>BS Balance FY2020: Total Assets − (Total Liab + Equity)</t>
        </is>
      </c>
      <c r="C12" s="71">
        <f>'3. BS'!C19-'3. BS'!C33</f>
        <v/>
      </c>
      <c r="D12" s="10" t="inlineStr">
        <is>
          <t>Must = 0</t>
        </is>
      </c>
    </row>
    <row r="13">
      <c r="B13" s="7" t="inlineStr">
        <is>
          <t>BS Balance FY2021: Total Assets − (Total Liab + Equity)</t>
        </is>
      </c>
      <c r="C13" s="71">
        <f>'3. BS'!D19-'3. BS'!D33</f>
        <v/>
      </c>
      <c r="D13" s="10" t="inlineStr">
        <is>
          <t>Must = 0</t>
        </is>
      </c>
    </row>
    <row r="14">
      <c r="B14" s="7" t="inlineStr">
        <is>
          <t>BS Balance FY2022: Total Assets − (Total Liab + Equity)</t>
        </is>
      </c>
      <c r="C14" s="71">
        <f>'3. BS'!E19-'3. BS'!E33</f>
        <v/>
      </c>
      <c r="D14" s="10" t="inlineStr">
        <is>
          <t>Must = 0</t>
        </is>
      </c>
    </row>
    <row r="15">
      <c r="B15" s="7" t="inlineStr">
        <is>
          <t>BS Balance FY2023: Total Assets − (Total Liab + Equity)</t>
        </is>
      </c>
      <c r="C15" s="71">
        <f>'3. BS'!F19-'3. BS'!F33</f>
        <v/>
      </c>
      <c r="D15" s="10" t="inlineStr">
        <is>
          <t>Must = 0</t>
        </is>
      </c>
    </row>
    <row r="16">
      <c r="B16" s="7" t="inlineStr">
        <is>
          <t>BS Balance FY2024: Total Assets − (Total Liab + Equity)</t>
        </is>
      </c>
      <c r="C16" s="71">
        <f>'3. BS'!G19-'3. BS'!G33</f>
        <v/>
      </c>
      <c r="D16" s="10" t="inlineStr">
        <is>
          <t>Must = 0</t>
        </is>
      </c>
    </row>
    <row r="17">
      <c r="B17" s="7" t="inlineStr">
        <is>
          <t>BS Balance FY2025: Total Assets − (Total Liab + Equity)</t>
        </is>
      </c>
      <c r="C17" s="71">
        <f>'3. BS'!H19-'3. BS'!H33</f>
        <v/>
      </c>
      <c r="D17" s="10" t="inlineStr">
        <is>
          <t>Must = 0</t>
        </is>
      </c>
    </row>
    <row r="19">
      <c r="B19" s="5" t="inlineStr">
        <is>
          <t>LAYER C: CASH FLOW RECONCILIATION</t>
        </is>
      </c>
      <c r="C19" s="6" t="n"/>
      <c r="D19" s="6" t="n"/>
    </row>
    <row r="20">
      <c r="B20" s="7" t="inlineStr">
        <is>
          <t>CFO + CFI + CFF Net Change (FY2020)</t>
        </is>
      </c>
      <c r="C20" s="71">
        <f>'4. CF'!C21</f>
        <v/>
      </c>
      <c r="D20" s="10" t="inlineStr">
        <is>
          <t>Net change in cash</t>
        </is>
      </c>
    </row>
    <row r="21">
      <c r="B21" s="7" t="inlineStr">
        <is>
          <t>CFO + CFI + CFF Net Change (FY2021)</t>
        </is>
      </c>
      <c r="C21" s="71">
        <f>'4. CF'!D21</f>
        <v/>
      </c>
      <c r="D21" s="10" t="inlineStr">
        <is>
          <t>Net change in cash</t>
        </is>
      </c>
    </row>
    <row r="22">
      <c r="B22" s="7" t="inlineStr">
        <is>
          <t>CFO + CFI + CFF Net Change (FY2022)</t>
        </is>
      </c>
      <c r="C22" s="71">
        <f>'4. CF'!E21</f>
        <v/>
      </c>
      <c r="D22" s="10" t="inlineStr">
        <is>
          <t>Net change in cash</t>
        </is>
      </c>
    </row>
    <row r="23">
      <c r="B23" s="7" t="inlineStr">
        <is>
          <t>CFO + CFI + CFF Net Change (FY2023)</t>
        </is>
      </c>
      <c r="C23" s="71">
        <f>'4. CF'!F21</f>
        <v/>
      </c>
      <c r="D23" s="10" t="inlineStr">
        <is>
          <t>Net change in cash</t>
        </is>
      </c>
    </row>
    <row r="24">
      <c r="B24" s="7" t="inlineStr">
        <is>
          <t>CFO + CFI + CFF Net Change (FY2024)</t>
        </is>
      </c>
      <c r="C24" s="71">
        <f>'4. CF'!G21</f>
        <v/>
      </c>
      <c r="D24" s="10" t="inlineStr">
        <is>
          <t>Net change in cash</t>
        </is>
      </c>
    </row>
    <row r="25">
      <c r="B25" s="7" t="inlineStr">
        <is>
          <t>CFO + CFI + CFF Net Change (FY2025)</t>
        </is>
      </c>
      <c r="C25" s="71">
        <f>'4. CF'!H21</f>
        <v/>
      </c>
      <c r="D25" s="10" t="inlineStr">
        <is>
          <t>Net change in cash</t>
        </is>
      </c>
    </row>
    <row r="27">
      <c r="B27" s="5" t="inlineStr">
        <is>
          <t>LAYER D: 10-K RECONCILIATION (FY2025)</t>
        </is>
      </c>
      <c r="C27" s="6" t="n"/>
      <c r="D27" s="6" t="n"/>
    </row>
    <row r="28">
      <c r="B28" s="7" t="inlineStr">
        <is>
          <t>Revenue FY2025 = $11,100M</t>
        </is>
      </c>
      <c r="C28" s="71">
        <f>'2. IS'!H5</f>
        <v/>
      </c>
      <c r="D28" s="10" t="inlineStr">
        <is>
          <t>Match: $11100M</t>
        </is>
      </c>
    </row>
    <row r="29">
      <c r="B29" s="7" t="inlineStr">
        <is>
          <t>Operating Income FY2025 = $2,346M</t>
        </is>
      </c>
      <c r="C29" s="71">
        <f>'2. IS'!H13</f>
        <v/>
      </c>
      <c r="D29" s="10" t="inlineStr">
        <is>
          <t>Match: $2346M</t>
        </is>
      </c>
    </row>
    <row r="30">
      <c r="B30" s="7" t="inlineStr">
        <is>
          <t>Net Income FY2025 = $1,686M</t>
        </is>
      </c>
      <c r="C30" s="71">
        <f>'2. IS'!H17</f>
        <v/>
      </c>
      <c r="D30" s="10" t="inlineStr">
        <is>
          <t>Match: $1686M</t>
        </is>
      </c>
    </row>
    <row r="31">
      <c r="B31" s="7" t="inlineStr">
        <is>
          <t>Total Assets FY2025 = $8,400M</t>
        </is>
      </c>
      <c r="C31" s="71">
        <f>'3. BS'!H19</f>
        <v/>
      </c>
      <c r="D31" s="10" t="inlineStr">
        <is>
          <t>Match: $8400M</t>
        </is>
      </c>
    </row>
    <row r="32">
      <c r="B32" s="7" t="inlineStr">
        <is>
          <t>Total Liabilities FY2025 = $3,513M</t>
        </is>
      </c>
      <c r="C32" s="71">
        <f>'3. BS'!H30</f>
        <v/>
      </c>
      <c r="D32" s="10" t="inlineStr">
        <is>
          <t>Match: $3513M</t>
        </is>
      </c>
    </row>
    <row r="33">
      <c r="B33" s="7" t="inlineStr">
        <is>
          <t>CFO FY2025 = $1,603M</t>
        </is>
      </c>
      <c r="C33" s="71">
        <f>'4. CF'!H12</f>
        <v/>
      </c>
      <c r="D33" s="10" t="inlineStr">
        <is>
          <t>Match: $1603M</t>
        </is>
      </c>
    </row>
    <row r="35">
      <c r="B35" s="5" t="inlineStr">
        <is>
          <t>LAYER E: WACC VERIFICATION</t>
        </is>
      </c>
      <c r="C35" s="6" t="n"/>
      <c r="D35" s="6" t="n"/>
    </row>
    <row r="36">
      <c r="B36" s="7" t="inlineStr">
        <is>
          <t>Risk-Free Rate 4.39%</t>
        </is>
      </c>
      <c r="C36" s="35">
        <f>'10. EPV'!C6</f>
        <v/>
      </c>
      <c r="D36" s="10" t="inlineStr">
        <is>
          <t>YCharts 1-May-2026</t>
        </is>
      </c>
    </row>
    <row r="37">
      <c r="B37" s="7" t="inlineStr">
        <is>
          <t>Beta 1.30</t>
        </is>
      </c>
      <c r="C37" s="35">
        <f>'10. EPV'!C7</f>
        <v/>
      </c>
      <c r="D37" s="10" t="inlineStr">
        <is>
          <t>Median raw + alphaspread</t>
        </is>
      </c>
    </row>
    <row r="38">
      <c r="B38" s="7" t="inlineStr">
        <is>
          <t>ERP 4.50%</t>
        </is>
      </c>
      <c r="C38" s="35">
        <f>'10. EPV'!C8</f>
        <v/>
      </c>
      <c r="D38" s="10" t="inlineStr">
        <is>
          <t>Damodaran 2026</t>
        </is>
      </c>
    </row>
    <row r="39">
      <c r="B39" s="7" t="inlineStr">
        <is>
          <t>Cost of Equity = Rf + β×ERP</t>
        </is>
      </c>
      <c r="C39" s="35">
        <f>'10. EPV'!C9</f>
        <v/>
      </c>
      <c r="D39" s="10" t="inlineStr">
        <is>
          <t>Should ≈ 10.24%</t>
        </is>
      </c>
    </row>
    <row r="40">
      <c r="B40" s="7" t="inlineStr">
        <is>
          <t>WACC = Ke (zero debt)</t>
        </is>
      </c>
      <c r="C40" s="35">
        <f>'10. EPV'!C13</f>
        <v/>
      </c>
      <c r="D40" s="10" t="inlineStr">
        <is>
          <t>Should ≈ 10.25%</t>
        </is>
      </c>
    </row>
    <row r="42">
      <c r="B42" s="5" t="inlineStr">
        <is>
          <t>LAYER F: DECISION POINT CONSISTENCY</t>
        </is>
      </c>
      <c r="C42" s="6" t="n"/>
      <c r="D42" s="6" t="n"/>
    </row>
    <row r="43">
      <c r="B43" s="7" t="inlineStr">
        <is>
          <t>Tax Rate Normalizado (DP8)</t>
        </is>
      </c>
      <c r="C43" s="35">
        <f>'9. NOPAT'!C6</f>
        <v/>
      </c>
      <c r="D43" s="10" t="inlineStr">
        <is>
          <t>28% per DP8</t>
        </is>
      </c>
    </row>
    <row r="44">
      <c r="B44" s="7" t="inlineStr">
        <is>
          <t>S&amp;M Useful Life (DP3)</t>
        </is>
      </c>
      <c r="C44" s="35">
        <f>'6. S&amp;M Cap'!C5</f>
        <v/>
      </c>
      <c r="D44" s="10" t="inlineStr">
        <is>
          <t>3 years per DP3</t>
        </is>
      </c>
    </row>
    <row r="45">
      <c r="B45" s="7" t="inlineStr">
        <is>
          <t>Exit Multiple (DP15)</t>
        </is>
      </c>
      <c r="C45" s="35">
        <f>'12. Implied IRR'!C43</f>
        <v/>
      </c>
      <c r="D45" s="10" t="inlineStr">
        <is>
          <t>22x per DP15</t>
        </is>
      </c>
    </row>
    <row r="46">
      <c r="B46" s="7" t="inlineStr">
        <is>
          <t>NOPAT Normalizado &gt; 0</t>
        </is>
      </c>
      <c r="C46" s="35">
        <f>IF('9. NOPAT'!J26&gt;0,"✓","✗")</f>
        <v/>
      </c>
      <c r="D46" s="10" t="inlineStr">
        <is>
          <t>Sanity check</t>
        </is>
      </c>
    </row>
    <row r="47">
      <c r="B47" s="7" t="inlineStr">
        <is>
          <t>EPV &gt; 0</t>
        </is>
      </c>
      <c r="C47" s="35">
        <f>IF('10. EPV'!C31&gt;0,"✓","✗")</f>
        <v/>
      </c>
      <c r="D47" s="10" t="inlineStr">
        <is>
          <t>Sanity check</t>
        </is>
      </c>
    </row>
    <row r="48">
      <c r="B48" s="7" t="inlineStr">
        <is>
          <t>ROIC FY2025 &gt; 0</t>
        </is>
      </c>
      <c r="C48" s="35">
        <f>IF(AND(ISNUMBER('11. ROIC'!H14),'11. ROIC'!H14&gt;0),"✓","✗")</f>
        <v/>
      </c>
      <c r="D48" s="10" t="inlineStr">
        <is>
          <t>Sanity check</t>
        </is>
      </c>
    </row>
    <row r="50">
      <c r="B50" s="28" t="inlineStr">
        <is>
          <t>Modelo construido bajo Columbia Framework v4.1 — DCE Holdings</t>
        </is>
      </c>
    </row>
  </sheetData>
  <mergeCells count="3">
    <mergeCell ref="B3:D3"/>
    <mergeCell ref="B2:D2"/>
    <mergeCell ref="B50:D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2026-05-04T10:19:32Z</dcterms:created>
  <dcterms:modified xmlns:dcterms="http://purl.org/dc/terms/" xmlns:xsi="http://www.w3.org/2001/XMLSchema-instance" xsi:type="dcterms:W3CDTF">2026-05-04T10:41:29Z</dcterms:modified>
</cp:coreProperties>
</file>