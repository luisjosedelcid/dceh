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IS" sheetId="2" state="visible" r:id="rId2"/>
    <sheet xmlns:r="http://schemas.openxmlformats.org/officeDocument/2006/relationships" name="3. BS" sheetId="3" state="visible" r:id="rId3"/>
    <sheet xmlns:r="http://schemas.openxmlformats.org/officeDocument/2006/relationships" name="4. CF" sheetId="4" state="visible" r:id="rId4"/>
    <sheet xmlns:r="http://schemas.openxmlformats.org/officeDocument/2006/relationships" name="5. Health" sheetId="5" state="visible" r:id="rId5"/>
    <sheet xmlns:r="http://schemas.openxmlformats.org/officeDocument/2006/relationships" name="6. S&amp;M Cap" sheetId="6" state="visible" r:id="rId6"/>
    <sheet xmlns:r="http://schemas.openxmlformats.org/officeDocument/2006/relationships" name="7. R&amp;D Cap" sheetId="7" state="visible" r:id="rId7"/>
    <sheet xmlns:r="http://schemas.openxmlformats.org/officeDocument/2006/relationships" name="8. RV" sheetId="8" state="visible" r:id="rId8"/>
    <sheet xmlns:r="http://schemas.openxmlformats.org/officeDocument/2006/relationships" name="9. NOPAT" sheetId="9" state="visible" r:id="rId9"/>
    <sheet xmlns:r="http://schemas.openxmlformats.org/officeDocument/2006/relationships" name="10. EPV" sheetId="10" state="visible" r:id="rId10"/>
    <sheet xmlns:r="http://schemas.openxmlformats.org/officeDocument/2006/relationships" name="11. ROIC" sheetId="11" state="visible" r:id="rId11"/>
    <sheet xmlns:r="http://schemas.openxmlformats.org/officeDocument/2006/relationships" name="12. Implied IRR" sheetId="12" state="visible" r:id="rId12"/>
    <sheet xmlns:r="http://schemas.openxmlformats.org/officeDocument/2006/relationships" name="13. Summary" sheetId="13" state="visible" r:id="rId13"/>
    <sheet xmlns:r="http://schemas.openxmlformats.org/officeDocument/2006/relationships" name="14. Audit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€#,##0.00"/>
    <numFmt numFmtId="165" formatCode="#,##0.000"/>
    <numFmt numFmtId="166" formatCode="#,##0;\(#,##0\);\-"/>
    <numFmt numFmtId="167" formatCode="0.0%"/>
    <numFmt numFmtId="168" formatCode="0.0\x"/>
    <numFmt numFmtId="169" formatCode="#,##0.0"/>
    <numFmt numFmtId="170" formatCode="0.00\x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2642"/>
      <sz val="14"/>
    </font>
    <font>
      <name val="Calibri"/>
      <charset val="1"/>
      <family val="0"/>
      <b val="1"/>
      <color rgb="FFB88B47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i val="1"/>
      <color rgb="FF666666"/>
      <sz val="9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8000"/>
      <sz val="10"/>
    </font>
    <font>
      <name val="Calibri"/>
      <charset val="1"/>
      <family val="0"/>
      <color rgb="FF0000FF"/>
      <sz val="10"/>
      <u val="single"/>
    </font>
    <font>
      <name val="Calibri"/>
      <charset val="1"/>
      <family val="0"/>
      <b val="1"/>
      <color rgb="FF1B2642"/>
      <sz val="12"/>
    </font>
    <font>
      <name val="Calibri"/>
      <charset val="1"/>
      <family val="0"/>
      <i val="1"/>
      <color rgb="FF606060"/>
      <sz val="8"/>
    </font>
    <font>
      <name val="Calibri"/>
      <b val="1"/>
      <color rgb="00FFFFFF"/>
      <sz val="11"/>
    </font>
    <font>
      <name val="Calibri"/>
      <i val="1"/>
      <color rgb="000D0D0D"/>
      <sz val="10"/>
    </font>
  </fonts>
  <fills count="9">
    <fill>
      <patternFill/>
    </fill>
    <fill>
      <patternFill patternType="gray125"/>
    </fill>
    <fill>
      <patternFill patternType="solid">
        <fgColor rgb="FF1B2642"/>
        <bgColor rgb="FF003366"/>
      </patternFill>
    </fill>
    <fill>
      <patternFill patternType="solid">
        <fgColor rgb="FFB88B47"/>
        <bgColor rgb="FF808000"/>
      </patternFill>
    </fill>
    <fill>
      <patternFill patternType="solid">
        <fgColor rgb="FFBDD7EE"/>
        <bgColor rgb="FFD6DCE4"/>
      </patternFill>
    </fill>
    <fill>
      <patternFill patternType="solid">
        <fgColor rgb="FFE2EFDA"/>
        <bgColor rgb="FFE6E6E6"/>
      </patternFill>
    </fill>
    <fill>
      <patternFill patternType="solid">
        <fgColor rgb="FFD6DCE4"/>
        <bgColor rgb="FFE6E6E6"/>
      </patternFill>
    </fill>
    <fill>
      <patternFill patternType="solid">
        <fgColor rgb="FFE6E6E6"/>
        <bgColor rgb="FFE2EFDA"/>
      </patternFill>
    </fill>
    <fill>
      <patternFill patternType="solid">
        <fgColor rgb="001B2642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C7D2"/>
      </bottom>
      <diagonal/>
    </border>
    <border>
      <left/>
      <right/>
      <top style="thin">
        <color rgb="FF1B2642"/>
      </top>
      <bottom style="double">
        <color rgb="FF1B264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1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6" fontId="10" fillId="4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6" fontId="10" fillId="5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168" fontId="1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66" fontId="8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2"/>
    </xf>
    <xf numFmtId="166" fontId="8" fillId="0" borderId="0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 indent="2"/>
    </xf>
    <xf numFmtId="166" fontId="8" fillId="7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166" fontId="10" fillId="5" borderId="2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/>
    </xf>
    <xf numFmtId="167" fontId="7" fillId="7" borderId="0" applyAlignment="1" pivotButton="0" quotePrefix="0" xfId="0">
      <alignment horizontal="right" vertical="center"/>
    </xf>
    <xf numFmtId="164" fontId="8" fillId="7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general" vertical="bottom"/>
    </xf>
    <xf numFmtId="166" fontId="8" fillId="5" borderId="2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 indent="2"/>
    </xf>
    <xf numFmtId="166" fontId="7" fillId="0" borderId="0" applyAlignment="1" pivotButton="0" quotePrefix="0" xfId="0">
      <alignment horizontal="right" vertical="center"/>
    </xf>
    <xf numFmtId="166" fontId="7" fillId="7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/>
    </xf>
    <xf numFmtId="166" fontId="10" fillId="7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7" fontId="7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167" fontId="0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167" fontId="9" fillId="0" borderId="0" applyAlignment="1" pivotButton="0" quotePrefix="0" xfId="0">
      <alignment horizontal="right" vertical="center"/>
    </xf>
    <xf numFmtId="169" fontId="11" fillId="0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164" fontId="1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general" vertical="bottom"/>
    </xf>
    <xf numFmtId="166" fontId="11" fillId="4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indent="2"/>
    </xf>
    <xf numFmtId="166" fontId="9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0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 indent="2"/>
    </xf>
    <xf numFmtId="10" fontId="10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10" fontId="11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 indent="2"/>
    </xf>
    <xf numFmtId="10" fontId="10" fillId="5" borderId="2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4" fontId="10" fillId="5" borderId="2" applyAlignment="1" pivotButton="0" quotePrefix="0" xfId="0">
      <alignment horizontal="right" vertical="center"/>
    </xf>
    <xf numFmtId="167" fontId="10" fillId="4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7" fontId="10" fillId="6" borderId="0" applyAlignment="1" pivotButton="0" quotePrefix="0" xfId="0">
      <alignment horizontal="center" vertical="center"/>
    </xf>
    <xf numFmtId="10" fontId="10" fillId="6" borderId="0" applyAlignment="1" pivotButton="0" quotePrefix="0" xfId="0">
      <alignment horizontal="center" vertical="center"/>
    </xf>
    <xf numFmtId="167" fontId="10" fillId="5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67" fontId="10" fillId="5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2"/>
    </xf>
    <xf numFmtId="0" fontId="10" fillId="4" borderId="0" applyAlignment="1" pivotButton="0" quotePrefix="0" xfId="0">
      <alignment horizontal="left" vertical="center" indent="2"/>
    </xf>
    <xf numFmtId="170" fontId="10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6" fontId="10" fillId="4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6" fontId="10" fillId="5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168" fontId="1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66" fontId="8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2"/>
    </xf>
    <xf numFmtId="166" fontId="8" fillId="0" borderId="0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 indent="2"/>
    </xf>
    <xf numFmtId="166" fontId="8" fillId="7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166" fontId="10" fillId="5" borderId="2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/>
    </xf>
    <xf numFmtId="167" fontId="7" fillId="7" borderId="0" applyAlignment="1" pivotButton="0" quotePrefix="0" xfId="0">
      <alignment horizontal="right" vertical="center"/>
    </xf>
    <xf numFmtId="164" fontId="8" fillId="7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general" vertical="bottom"/>
    </xf>
    <xf numFmtId="166" fontId="8" fillId="5" borderId="2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 indent="2"/>
    </xf>
    <xf numFmtId="166" fontId="7" fillId="0" borderId="0" applyAlignment="1" pivotButton="0" quotePrefix="0" xfId="0">
      <alignment horizontal="right" vertical="center"/>
    </xf>
    <xf numFmtId="166" fontId="7" fillId="7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/>
    </xf>
    <xf numFmtId="166" fontId="10" fillId="7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7" fontId="7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167" fontId="0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167" fontId="9" fillId="0" borderId="0" applyAlignment="1" pivotButton="0" quotePrefix="0" xfId="0">
      <alignment horizontal="right" vertical="center"/>
    </xf>
    <xf numFmtId="169" fontId="11" fillId="0" borderId="0" applyAlignment="1" pivotButton="0" quotePrefix="0" xfId="0">
      <alignment horizontal="right" vertical="center"/>
    </xf>
    <xf numFmtId="164" fontId="1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general" vertical="bottom"/>
    </xf>
    <xf numFmtId="166" fontId="11" fillId="4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indent="2"/>
    </xf>
    <xf numFmtId="166" fontId="9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0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 indent="2"/>
    </xf>
    <xf numFmtId="10" fontId="10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10" fontId="11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 indent="2"/>
    </xf>
    <xf numFmtId="10" fontId="10" fillId="5" borderId="2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4" fontId="10" fillId="5" borderId="2" applyAlignment="1" pivotButton="0" quotePrefix="0" xfId="0">
      <alignment horizontal="right" vertical="center"/>
    </xf>
    <xf numFmtId="167" fontId="10" fillId="4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7" fontId="10" fillId="6" borderId="0" applyAlignment="1" pivotButton="0" quotePrefix="0" xfId="0">
      <alignment horizontal="center" vertical="center"/>
    </xf>
    <xf numFmtId="10" fontId="10" fillId="6" borderId="0" applyAlignment="1" pivotButton="0" quotePrefix="0" xfId="0">
      <alignment horizontal="center" vertical="center"/>
    </xf>
    <xf numFmtId="167" fontId="10" fillId="5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67" fontId="10" fillId="5" borderId="2" applyAlignment="1" pivotButton="0" quotePrefix="0" xfId="0">
      <alignment horizontal="right" vertical="center"/>
    </xf>
    <xf numFmtId="170" fontId="10" fillId="4" borderId="0" applyAlignment="1" pivotButton="0" quotePrefix="0" xfId="0">
      <alignment horizontal="right" vertical="center"/>
    </xf>
    <xf numFmtId="0" fontId="15" fillId="8" borderId="0" pivotButton="0" quotePrefix="0" xfId="0"/>
    <xf numFmtId="0" fontId="0" fillId="8" borderId="0" pivotButton="0" quotePrefix="0" xfId="0"/>
    <xf numFmtId="0" fontId="16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Calibri"/>
        <charset val="1"/>
        <family val="0"/>
        <b val="1"/>
        <color rgb="FF008000"/>
        <sz val="10"/>
      </font>
    </dxf>
    <dxf>
      <font>
        <name val="Calibri"/>
        <charset val="1"/>
        <family val="0"/>
        <b val="1"/>
        <color rgb="FFB88B47"/>
        <sz val="10"/>
      </font>
    </dxf>
    <dxf>
      <font>
        <name val="Calibri"/>
        <charset val="1"/>
        <family val="0"/>
        <b val="1"/>
        <color rgb="FFCC0000"/>
        <sz val="10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7D2"/>
      <rgbColor rgb="FF606060"/>
      <rgbColor rgb="FF9999FF"/>
      <rgbColor rgb="FF7030A0"/>
      <rgbColor rgb="FFE6E6E6"/>
      <rgbColor rgb="FFD6DCE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B88B47"/>
      <rgbColor rgb="FF003366"/>
      <rgbColor rgb="FF339966"/>
      <rgbColor rgb="FF003300"/>
      <rgbColor rgb="FF375623"/>
      <rgbColor rgb="FF833C00"/>
      <rgbColor rgb="FF993366"/>
      <rgbColor rgb="FF595959"/>
      <rgbColor rgb="FF1B26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RACE_columbia_v4.2.xlsx" TargetMode="External" Id="rId1"/><Relationship Type="http://schemas.openxmlformats.org/officeDocument/2006/relationships/hyperlink" Target="RACE_columbia_v4.2.xlsx" TargetMode="External" Id="rId2"/><Relationship Type="http://schemas.openxmlformats.org/officeDocument/2006/relationships/hyperlink" Target="RACE_columbia_v4.2.xlsx" TargetMode="External" Id="rId3"/><Relationship Type="http://schemas.openxmlformats.org/officeDocument/2006/relationships/hyperlink" Target="RACE_columbia_v4.2.xlsx" TargetMode="External" Id="rId4"/><Relationship Type="http://schemas.openxmlformats.org/officeDocument/2006/relationships/hyperlink" Target="RACE_columbia_v4.2.xlsx" TargetMode="External" Id="rId5"/><Relationship Type="http://schemas.openxmlformats.org/officeDocument/2006/relationships/hyperlink" Target="RACE_columbia_v4.2.xlsx" TargetMode="External" Id="rId6"/><Relationship Type="http://schemas.openxmlformats.org/officeDocument/2006/relationships/hyperlink" Target="RACE_columbia_v4.2.xlsx" TargetMode="External" Id="rId7"/><Relationship Type="http://schemas.openxmlformats.org/officeDocument/2006/relationships/hyperlink" Target="RACE_columbia_v4.2.xlsx" TargetMode="External" Id="rId8"/><Relationship Type="http://schemas.openxmlformats.org/officeDocument/2006/relationships/hyperlink" Target="RACE_columbia_v4.2.xlsx" TargetMode="External" Id="rId9"/><Relationship Type="http://schemas.openxmlformats.org/officeDocument/2006/relationships/hyperlink" Target="RACE_columbia_v4.2.xlsx" TargetMode="External" Id="rId10"/><Relationship Type="http://schemas.openxmlformats.org/officeDocument/2006/relationships/hyperlink" Target="RACE_columbia_v4.2.xlsx" TargetMode="External" Id="rId11"/><Relationship Type="http://schemas.openxmlformats.org/officeDocument/2006/relationships/hyperlink" Target="RACE_columbia_v4.2.xlsx" TargetMode="External" Id="rId12"/><Relationship Type="http://schemas.openxmlformats.org/officeDocument/2006/relationships/hyperlink" Target="RACE_columbia_v4.2.xlsx" TargetMode="External" Id="rId13"/><Relationship Type="http://schemas.openxmlformats.org/officeDocument/2006/relationships/hyperlink" Target="RACE_columbia_v4.2.xlsx" TargetMode="External" Id="rId14"/></Relationships>
</file>

<file path=xl/worksheets/sheet1.xml><?xml version="1.0" encoding="utf-8"?>
<worksheet xmlns="http://schemas.openxmlformats.org/spreadsheetml/2006/main">
  <sheetPr filterMode="0">
    <tabColor rgb="FF1B2642"/>
    <outlinePr summaryBelow="1" summaryRight="1"/>
    <pageSetUpPr fitToPage="0"/>
  </sheetPr>
  <dimension ref="B1:E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36" customWidth="1" style="107" min="2" max="2"/>
    <col width="24" customWidth="1" style="107" min="3" max="5"/>
  </cols>
  <sheetData>
    <row r="1" ht="6" customHeight="1" s="108">
      <c r="B1" s="109" t="n"/>
      <c r="C1" s="109" t="n"/>
      <c r="D1" s="109" t="n"/>
      <c r="E1" s="109" t="n"/>
    </row>
    <row r="2" ht="17.35" customHeight="1" s="108">
      <c r="B2" s="110" t="inlineStr">
        <is>
          <t>COLUMBIA VALUATION MODEL — Ferrari N.V. | DCE Holdings</t>
        </is>
      </c>
    </row>
    <row r="3" ht="15" customHeight="1" s="108">
      <c r="B3" s="111" t="inlineStr">
        <is>
          <t>Fecha de Valoración: 22-May-2026 | Precio: €317.63 (USD 349.39 @ 1.10 EUR/USD)</t>
        </is>
      </c>
    </row>
    <row r="4" ht="3" customHeight="1" s="108">
      <c r="B4" s="112" t="n"/>
      <c r="C4" s="112" t="n"/>
      <c r="D4" s="112" t="n"/>
      <c r="E4" s="112" t="n"/>
    </row>
    <row r="5" ht="15" customHeight="1" s="108">
      <c r="B5" s="113" t="inlineStr">
        <is>
          <t>PERFIL DE LA EMPRESA</t>
        </is>
      </c>
      <c r="C5" s="109" t="n"/>
      <c r="D5" s="109" t="n"/>
      <c r="E5" s="109" t="n"/>
    </row>
    <row r="6" ht="15" customHeight="1" s="108">
      <c r="B6" s="114" t="inlineStr">
        <is>
          <t>Nombre</t>
        </is>
      </c>
      <c r="C6" s="115" t="inlineStr">
        <is>
          <t>Ferrari N.V.</t>
        </is>
      </c>
    </row>
    <row r="7" ht="15" customHeight="1" s="108">
      <c r="B7" s="114" t="inlineStr">
        <is>
          <t>Ticker / Bolsa</t>
        </is>
      </c>
      <c r="C7" s="115" t="inlineStr">
        <is>
          <t>RACE — NYSE / EXM Milan</t>
        </is>
      </c>
    </row>
    <row r="8" ht="15" customHeight="1" s="108">
      <c r="B8" s="114" t="inlineStr">
        <is>
          <t>Sector (GICS)</t>
        </is>
      </c>
      <c r="C8" s="115" t="inlineStr">
        <is>
          <t>Consumer Discretionary / Automobiles / Luxury</t>
        </is>
      </c>
    </row>
    <row r="9" ht="15" customHeight="1" s="108">
      <c r="B9" s="114" t="inlineStr">
        <is>
          <t>Modelo de Negocio</t>
        </is>
      </c>
      <c r="C9" s="115" t="inlineStr">
        <is>
          <t>Manufacturer of luxury performance sports cars + F1 racing</t>
        </is>
      </c>
    </row>
    <row r="10" ht="15" customHeight="1" s="108">
      <c r="B10" s="114" t="inlineStr">
        <is>
          <t>Fiscal Year End</t>
        </is>
      </c>
      <c r="C10" s="115" t="inlineStr">
        <is>
          <t>December 31</t>
        </is>
      </c>
    </row>
    <row r="11" ht="15" customHeight="1" s="108">
      <c r="B11" s="114" t="inlineStr">
        <is>
          <t>CEO</t>
        </is>
      </c>
      <c r="C11" s="115" t="inlineStr">
        <is>
          <t>Benedetto Vigna</t>
        </is>
      </c>
    </row>
    <row r="12" ht="15" customHeight="1" s="108">
      <c r="B12" s="114" t="inlineStr">
        <is>
          <t>Sede</t>
        </is>
      </c>
      <c r="C12" s="115" t="inlineStr">
        <is>
          <t>Maranello, Italy</t>
        </is>
      </c>
    </row>
    <row r="13" ht="15" customHeight="1" s="108">
      <c r="B13" s="114" t="inlineStr">
        <is>
          <t>Empleados (~)</t>
        </is>
      </c>
      <c r="C13" s="115" t="inlineStr">
        <is>
          <t>5,500</t>
        </is>
      </c>
    </row>
    <row r="14" ht="15" customHeight="1" s="108">
      <c r="B14" s="114" t="inlineStr">
        <is>
          <t>Fecha de Valoración</t>
        </is>
      </c>
      <c r="C14" s="115" t="inlineStr">
        <is>
          <t>22-May-2026</t>
        </is>
      </c>
    </row>
    <row r="16" ht="15" customHeight="1" s="108">
      <c r="B16" s="113" t="inlineStr">
        <is>
          <t>DATOS DE MERCADO</t>
        </is>
      </c>
      <c r="C16" s="109" t="n"/>
      <c r="D16" s="109" t="n"/>
      <c r="E16" s="109" t="n"/>
    </row>
    <row r="17" ht="15" customHeight="1" s="108">
      <c r="B17" s="114" t="inlineStr">
        <is>
          <t>Precio Actual (€)</t>
        </is>
      </c>
      <c r="C17" s="116" t="n">
        <v>317.63</v>
      </c>
      <c r="D17" s="117" t="inlineStr">
        <is>
          <t>NYSE close 22-May-2026 USD/EUR 1.10</t>
        </is>
      </c>
    </row>
    <row r="18" ht="15" customHeight="1" s="108">
      <c r="B18" s="114" t="inlineStr">
        <is>
          <t>Acciones Diluidas (M)</t>
        </is>
      </c>
      <c r="C18" s="118" t="n">
        <v>178.321</v>
      </c>
      <c r="D18" s="117" t="inlineStr">
        <is>
          <t>Ferrari FY25 diluted shares</t>
        </is>
      </c>
    </row>
    <row r="19" ht="15" customHeight="1" s="108">
      <c r="B19" s="119" t="inlineStr">
        <is>
          <t>Market Cap (€M)</t>
        </is>
      </c>
      <c r="C19" s="120">
        <f>C17*C18</f>
        <v/>
      </c>
    </row>
    <row r="20" ht="15" customHeight="1" s="108">
      <c r="B20" s="114" t="inlineStr">
        <is>
          <t>Total Deuda (€M)</t>
        </is>
      </c>
      <c r="C20" s="121">
        <f>'3. BS'!H44</f>
        <v/>
      </c>
    </row>
    <row r="21" ht="15" customHeight="1" s="108">
      <c r="B21" s="114" t="inlineStr">
        <is>
          <t>Lease Liabilities (€M)</t>
        </is>
      </c>
      <c r="C21" s="121">
        <f>'3. BS'!H30</f>
        <v/>
      </c>
    </row>
    <row r="22" ht="15" customHeight="1" s="108">
      <c r="B22" s="114" t="inlineStr">
        <is>
          <t>Cash + STI (€M)</t>
        </is>
      </c>
      <c r="C22" s="121">
        <f>'3. BS'!H7</f>
        <v/>
      </c>
    </row>
    <row r="23" ht="15" customHeight="1" s="108">
      <c r="B23" s="119" t="inlineStr">
        <is>
          <t>Enterprise Value (€M)</t>
        </is>
      </c>
      <c r="C23" s="122">
        <f>C19+C20+C21-C22</f>
        <v/>
      </c>
    </row>
    <row r="25" ht="15" customHeight="1" s="108">
      <c r="B25" s="113" t="inlineStr">
        <is>
          <t>MÉTRICAS FINANCIERAS CLAVE (LTM = FY 2025)</t>
        </is>
      </c>
      <c r="C25" s="109" t="n"/>
      <c r="D25" s="109" t="n"/>
      <c r="E25" s="109" t="n"/>
    </row>
    <row r="26" ht="15" customHeight="1" s="108">
      <c r="B26" s="114" t="inlineStr">
        <is>
          <t>Net Revenue (€M)</t>
        </is>
      </c>
      <c r="C26" s="121">
        <f>'2. IS'!H5</f>
        <v/>
      </c>
    </row>
    <row r="27" ht="15" customHeight="1" s="108">
      <c r="B27" s="114" t="inlineStr">
        <is>
          <t>Operating Income (EBIT) (€M)</t>
        </is>
      </c>
      <c r="C27" s="121">
        <f>'2. IS'!H16</f>
        <v/>
      </c>
    </row>
    <row r="28" ht="15" customHeight="1" s="108">
      <c r="B28" s="114" t="inlineStr">
        <is>
          <t>Operating Margin %</t>
        </is>
      </c>
      <c r="C28" s="123">
        <f>'2. IS'!H25</f>
        <v/>
      </c>
    </row>
    <row r="29" ht="15" customHeight="1" s="108">
      <c r="B29" s="114" t="inlineStr">
        <is>
          <t>EBITDA (€M)</t>
        </is>
      </c>
      <c r="C29" s="121">
        <f>'2. IS'!H24</f>
        <v/>
      </c>
    </row>
    <row r="30" ht="15" customHeight="1" s="108">
      <c r="B30" s="114" t="inlineStr">
        <is>
          <t>Net Income (€M)</t>
        </is>
      </c>
      <c r="C30" s="121">
        <f>'2. IS'!H20</f>
        <v/>
      </c>
    </row>
    <row r="31" ht="15" customHeight="1" s="108">
      <c r="B31" s="114" t="inlineStr">
        <is>
          <t>EPS Diluted (€)</t>
        </is>
      </c>
      <c r="C31" s="124">
        <f>'2. IS'!H30</f>
        <v/>
      </c>
    </row>
    <row r="32" ht="15" customHeight="1" s="108">
      <c r="B32" s="114" t="inlineStr">
        <is>
          <t>Free Cash Flow (€M)</t>
        </is>
      </c>
      <c r="C32" s="121">
        <f>'4. CF'!H25</f>
        <v/>
      </c>
    </row>
    <row r="33" ht="15" customHeight="1" s="108">
      <c r="B33" s="114" t="inlineStr">
        <is>
          <t>FCF Margin %</t>
        </is>
      </c>
      <c r="C33" s="123">
        <f>'4. CF'!H25/'2. IS'!H5</f>
        <v/>
      </c>
    </row>
    <row r="34" ht="15" customHeight="1" s="108">
      <c r="B34" s="114" t="inlineStr">
        <is>
          <t>D&amp;A (€M)</t>
        </is>
      </c>
      <c r="C34" s="121">
        <f>'4. CF'!H7</f>
        <v/>
      </c>
    </row>
    <row r="35" ht="15" customHeight="1" s="108">
      <c r="B35" s="114" t="inlineStr">
        <is>
          <t>SBC (€M)</t>
        </is>
      </c>
      <c r="C35" s="121">
        <f>'2. IS'!H32</f>
        <v/>
      </c>
    </row>
    <row r="36" ht="15" customHeight="1" s="108">
      <c r="B36" s="114" t="inlineStr">
        <is>
          <t>CapEx (€M)</t>
        </is>
      </c>
      <c r="C36" s="121">
        <f>-'4. CF'!H13</f>
        <v/>
      </c>
    </row>
    <row r="38" ht="15" customHeight="1" s="108">
      <c r="B38" s="113" t="inlineStr">
        <is>
          <t>MÚLTIPLOS DE VALORACIÓN</t>
        </is>
      </c>
      <c r="C38" s="109" t="n"/>
      <c r="D38" s="109" t="n"/>
      <c r="E38" s="109" t="n"/>
    </row>
    <row r="39" ht="15" customHeight="1" s="108">
      <c r="B39" s="114" t="inlineStr">
        <is>
          <t>P/E (Diluted)</t>
        </is>
      </c>
      <c r="C39" s="125">
        <f>C17/'2. IS'!H30</f>
        <v/>
      </c>
    </row>
    <row r="40" ht="15" customHeight="1" s="108">
      <c r="B40" s="114" t="inlineStr">
        <is>
          <t>EV/EBITDA</t>
        </is>
      </c>
      <c r="C40" s="125">
        <f>C23/'2. IS'!H24</f>
        <v/>
      </c>
    </row>
    <row r="41" ht="15" customHeight="1" s="108">
      <c r="B41" s="114" t="inlineStr">
        <is>
          <t>EV/Revenue</t>
        </is>
      </c>
      <c r="C41" s="125">
        <f>C23/'2. IS'!H5</f>
        <v/>
      </c>
    </row>
    <row r="42" ht="15" customHeight="1" s="108">
      <c r="B42" s="114" t="inlineStr">
        <is>
          <t>Price/FCF</t>
        </is>
      </c>
      <c r="C42" s="125">
        <f>C19/'4. CF'!H25</f>
        <v/>
      </c>
    </row>
    <row r="43" ht="15" customHeight="1" s="108">
      <c r="B43" s="114" t="inlineStr">
        <is>
          <t>Price/Book</t>
        </is>
      </c>
      <c r="C43" s="125">
        <f>C19/'3. BS'!H38</f>
        <v/>
      </c>
    </row>
    <row r="44" ht="15" customHeight="1" s="108">
      <c r="B44" s="114" t="inlineStr">
        <is>
          <t>Dividend Yield</t>
        </is>
      </c>
      <c r="C44" s="123">
        <f>-'4. CF'!H19/C19</f>
        <v/>
      </c>
    </row>
    <row r="45" ht="15" customHeight="1" s="108">
      <c r="B45" s="114" t="inlineStr">
        <is>
          <t>Revenue Growth YoY</t>
        </is>
      </c>
      <c r="C45" s="123">
        <f>'2. IS'!H5/'2. IS'!G5-1</f>
        <v/>
      </c>
    </row>
    <row r="46" ht="15" customHeight="1" s="108">
      <c r="B46" s="114" t="inlineStr">
        <is>
          <t>EBITDA Growth YoY</t>
        </is>
      </c>
      <c r="C46" s="123">
        <f>'2. IS'!H24/'2. IS'!G24-1</f>
        <v/>
      </c>
    </row>
    <row r="47" ht="15" customHeight="1" s="108">
      <c r="B47" s="114" t="inlineStr">
        <is>
          <t>FCF Growth YoY</t>
        </is>
      </c>
      <c r="C47" s="123">
        <f>'4. CF'!H25/'4. CF'!G25-1</f>
        <v/>
      </c>
    </row>
    <row r="49" ht="15" customHeight="1" s="108">
      <c r="B49" s="113" t="inlineStr">
        <is>
          <t>ÍNDICE DE HOJAS</t>
        </is>
      </c>
      <c r="C49" s="109" t="n"/>
      <c r="D49" s="109" t="n"/>
      <c r="E49" s="109" t="n"/>
    </row>
    <row r="50" ht="15" customHeight="1" s="108">
      <c r="B50" s="126" t="inlineStr">
        <is>
          <t>1. Overview</t>
        </is>
      </c>
      <c r="C50" s="114" t="inlineStr">
        <is>
          <t>Profile + market data + key metrics + multiples</t>
        </is>
      </c>
    </row>
    <row r="51" ht="15" customHeight="1" s="108">
      <c r="B51" s="126" t="inlineStr">
        <is>
          <t>2. IS</t>
        </is>
      </c>
      <c r="C51" s="114" t="inlineStr">
        <is>
          <t>Income Statement FY2020-2025 + derived metrics</t>
        </is>
      </c>
    </row>
    <row r="52" ht="15" customHeight="1" s="108">
      <c r="B52" s="126" t="inlineStr">
        <is>
          <t>3. BS</t>
        </is>
      </c>
      <c r="C52" s="114" t="inlineStr">
        <is>
          <t>Balance Sheet FY2020-2025</t>
        </is>
      </c>
    </row>
    <row r="53" ht="15" customHeight="1" s="108">
      <c r="B53" s="126" t="inlineStr">
        <is>
          <t>4. CF</t>
        </is>
      </c>
      <c r="C53" s="114" t="inlineStr">
        <is>
          <t>Cash Flow Statement FY2020-2025 + FCF</t>
        </is>
      </c>
    </row>
    <row r="54" ht="15" customHeight="1" s="108">
      <c r="B54" s="126" t="inlineStr">
        <is>
          <t>5. Health</t>
        </is>
      </c>
      <c r="C54" s="114" t="inlineStr">
        <is>
          <t>Health Check indicators (3-band PASS/MONITOR/FAIL)</t>
        </is>
      </c>
    </row>
    <row r="55" ht="15" customHeight="1" s="108">
      <c r="B55" s="126" t="inlineStr">
        <is>
          <t>6. S&amp;M Cap</t>
        </is>
      </c>
      <c r="C55" s="114" t="inlineStr">
        <is>
          <t>Marketing capitalization (70% of SG&amp;A proxy, 7y useful life)</t>
        </is>
      </c>
    </row>
    <row r="56" ht="15" customHeight="1" s="108">
      <c r="B56" s="126" t="inlineStr">
        <is>
          <t>7. R&amp;D Cap</t>
        </is>
      </c>
      <c r="C56" s="114" t="inlineStr">
        <is>
          <t>R&amp;D capitalization (Ferrari engine + hybrid tech, 5y useful life)</t>
        </is>
      </c>
    </row>
    <row r="57" ht="15" customHeight="1" s="108">
      <c r="B57" s="126" t="inlineStr">
        <is>
          <t>8. RV</t>
        </is>
      </c>
      <c r="C57" s="114" t="inlineStr">
        <is>
          <t>Reproduction Value (asset replication cost incl. brand, F1, dealer net)</t>
        </is>
      </c>
    </row>
    <row r="58" ht="15" customHeight="1" s="108">
      <c r="B58" s="126" t="inlineStr">
        <is>
          <t>9. NOPAT</t>
        </is>
      </c>
      <c r="C58" s="114" t="inlineStr">
        <is>
          <t>Adjusted NOPAT normalized (Revenue × Margen Op Normalizado 27%)</t>
        </is>
      </c>
    </row>
    <row r="59" ht="15" customHeight="1" s="108">
      <c r="B59" s="126" t="inlineStr">
        <is>
          <t>10. EPV</t>
        </is>
      </c>
      <c r="C59" s="114" t="inlineStr">
        <is>
          <t>Earnings Power Value (zero-growth perpetuity at WACC ~8%)</t>
        </is>
      </c>
    </row>
    <row r="60" ht="15" customHeight="1" s="108">
      <c r="B60" s="126" t="inlineStr">
        <is>
          <t>11. ROIC</t>
        </is>
      </c>
      <c r="C60" s="114" t="inlineStr">
        <is>
          <t>Invested Capital and ROIC (3 sections incl. Marginal Growth)</t>
        </is>
      </c>
    </row>
    <row r="61" ht="15" customHeight="1" s="108">
      <c r="B61" s="126" t="inlineStr">
        <is>
          <t>12. Implied IRR</t>
        </is>
      </c>
      <c r="C61" s="114" t="inlineStr">
        <is>
          <t>Enterprise-first 7-section return framework</t>
        </is>
      </c>
    </row>
    <row r="62" ht="15" customHeight="1" s="108">
      <c r="B62" s="126" t="inlineStr">
        <is>
          <t>13. Summary</t>
        </is>
      </c>
      <c r="C62" s="114" t="inlineStr">
        <is>
          <t>Columbia ladder + Decision Points table</t>
        </is>
      </c>
    </row>
    <row r="63" ht="15" customHeight="1" s="108">
      <c r="B63" s="126" t="inlineStr">
        <is>
          <t>14. Audit</t>
        </is>
      </c>
      <c r="C63" s="114" t="inlineStr">
        <is>
          <t>Formula audit log + BS balance + version reference</t>
        </is>
      </c>
    </row>
  </sheetData>
  <mergeCells count="25">
    <mergeCell ref="C54:E54"/>
    <mergeCell ref="C50:E50"/>
    <mergeCell ref="C55:E55"/>
    <mergeCell ref="C9:E9"/>
    <mergeCell ref="C56:E56"/>
    <mergeCell ref="C59:E59"/>
    <mergeCell ref="C12:E12"/>
    <mergeCell ref="C51:E51"/>
    <mergeCell ref="C60:E60"/>
    <mergeCell ref="C11:E11"/>
    <mergeCell ref="C52:E52"/>
    <mergeCell ref="C61:E61"/>
    <mergeCell ref="C8:E8"/>
    <mergeCell ref="B3:E3"/>
    <mergeCell ref="C7:E7"/>
    <mergeCell ref="C13:E13"/>
    <mergeCell ref="C57:E57"/>
    <mergeCell ref="C53:E53"/>
    <mergeCell ref="B2:E2"/>
    <mergeCell ref="C6:E6"/>
    <mergeCell ref="C62:E62"/>
    <mergeCell ref="C58:E58"/>
    <mergeCell ref="C14:E14"/>
    <mergeCell ref="C63:E63"/>
    <mergeCell ref="C10:E10"/>
  </mergeCells>
  <hyperlinks>
    <hyperlink xmlns:r="http://schemas.openxmlformats.org/officeDocument/2006/relationships" ref="B50" location="'1.%20Overview'!A1" display="1. Overview" r:id="rId1"/>
    <hyperlink xmlns:r="http://schemas.openxmlformats.org/officeDocument/2006/relationships" ref="B51" location="'2.%20IS'!A1" display="2. IS" r:id="rId2"/>
    <hyperlink xmlns:r="http://schemas.openxmlformats.org/officeDocument/2006/relationships" ref="B52" location="'3.%20BS'!A1" display="3. BS" r:id="rId3"/>
    <hyperlink xmlns:r="http://schemas.openxmlformats.org/officeDocument/2006/relationships" ref="B53" location="'4.%20CF'!A1" display="4. CF" r:id="rId4"/>
    <hyperlink xmlns:r="http://schemas.openxmlformats.org/officeDocument/2006/relationships" ref="B54" location="'5.%20Health'!A1" display="5. Health" r:id="rId5"/>
    <hyperlink xmlns:r="http://schemas.openxmlformats.org/officeDocument/2006/relationships" ref="B55" location="'6.%20S&amp;M%20Cap'!A1" display="6. S&amp;M Cap" r:id="rId6"/>
    <hyperlink xmlns:r="http://schemas.openxmlformats.org/officeDocument/2006/relationships" ref="B56" location="'7.%20R&amp;D%20Cap'!A1" display="7. R&amp;D Cap" r:id="rId7"/>
    <hyperlink xmlns:r="http://schemas.openxmlformats.org/officeDocument/2006/relationships" ref="B57" location="'8.%20RV'!A1" display="8. RV" r:id="rId8"/>
    <hyperlink xmlns:r="http://schemas.openxmlformats.org/officeDocument/2006/relationships" ref="B58" location="'9.%20NOPAT'!A1" display="9. NOPAT" r:id="rId9"/>
    <hyperlink xmlns:r="http://schemas.openxmlformats.org/officeDocument/2006/relationships" ref="B59" location="'10.%20EPV'!A1" display="10. EPV" r:id="rId10"/>
    <hyperlink xmlns:r="http://schemas.openxmlformats.org/officeDocument/2006/relationships" ref="B60" location="'11.%20ROIC'!A1" display="11. ROIC" r:id="rId11"/>
    <hyperlink xmlns:r="http://schemas.openxmlformats.org/officeDocument/2006/relationships" ref="B61" location="'12.%20Implied%20IRR'!A1" display="12. Implied IRR" r:id="rId12"/>
    <hyperlink xmlns:r="http://schemas.openxmlformats.org/officeDocument/2006/relationships" ref="B62" location="'13.%20Summary'!A1" display="13. Summary" r:id="rId13"/>
    <hyperlink xmlns:r="http://schemas.openxmlformats.org/officeDocument/2006/relationships" ref="B63" location="'14.%20Audit'!A1" display="14. Audit" r:id="rId1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B2:H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42" customWidth="1" style="107" min="2" max="2"/>
    <col width="14" customWidth="1" style="107" min="3" max="8"/>
  </cols>
  <sheetData>
    <row r="2" ht="15" customHeight="1" s="108">
      <c r="B2" s="127" t="inlineStr">
        <is>
          <t>ESTADO DE RESULTADOS — Ferrari N.V. (NYSE: RACE) | DCE Holdings</t>
        </is>
      </c>
    </row>
    <row r="3" ht="15" customHeight="1" s="108">
      <c r="B3" s="128" t="inlineStr">
        <is>
          <t>Source: Ferrari 20-F + Press Releases | EUR Millions | ROIC.ai complemented with EDGAR</t>
        </is>
      </c>
    </row>
    <row r="4" ht="15" customHeight="1" s="108">
      <c r="B4" s="129" t="inlineStr">
        <is>
          <t>CONCEPTO (€M)</t>
        </is>
      </c>
      <c r="C4" s="129" t="inlineStr">
        <is>
          <t>FY 2020</t>
        </is>
      </c>
      <c r="D4" s="129" t="inlineStr">
        <is>
          <t>FY 2021</t>
        </is>
      </c>
      <c r="E4" s="129" t="inlineStr">
        <is>
          <t>FY 2022</t>
        </is>
      </c>
      <c r="F4" s="129" t="inlineStr">
        <is>
          <t>FY 2023</t>
        </is>
      </c>
      <c r="G4" s="129" t="inlineStr">
        <is>
          <t>FY 2024</t>
        </is>
      </c>
      <c r="H4" s="129" t="inlineStr">
        <is>
          <t>FY 2025</t>
        </is>
      </c>
    </row>
    <row r="5" ht="15" customHeight="1" s="108">
      <c r="B5" s="130" t="inlineStr">
        <is>
          <t>Net Revenues</t>
        </is>
      </c>
      <c r="C5" s="131" t="n">
        <v>3460</v>
      </c>
      <c r="D5" s="131" t="n">
        <v>4271</v>
      </c>
      <c r="E5" s="131" t="n">
        <v>5095</v>
      </c>
      <c r="F5" s="131" t="n">
        <v>5970</v>
      </c>
      <c r="G5" s="131" t="n">
        <v>6677</v>
      </c>
      <c r="H5" s="131" t="n">
        <v>7146</v>
      </c>
    </row>
    <row r="6" ht="15" customHeight="1" s="108">
      <c r="B6" s="132" t="inlineStr">
        <is>
          <t>Cost of Sales</t>
        </is>
      </c>
      <c r="C6" s="133" t="n">
        <v>1686</v>
      </c>
      <c r="D6" s="133" t="n">
        <v>2081</v>
      </c>
      <c r="E6" s="133" t="n">
        <v>2649</v>
      </c>
      <c r="F6" s="133" t="n">
        <v>2996</v>
      </c>
      <c r="G6" s="133" t="n">
        <v>3330</v>
      </c>
      <c r="H6" s="133" t="n">
        <v>3453</v>
      </c>
    </row>
    <row r="7" ht="15" customHeight="1" s="108">
      <c r="B7" s="130" t="inlineStr">
        <is>
          <t>Gross Profit</t>
        </is>
      </c>
      <c r="C7" s="134">
        <f>C5-C6</f>
        <v/>
      </c>
      <c r="D7" s="134">
        <f>D5-D6</f>
        <v/>
      </c>
      <c r="E7" s="134">
        <f>E5-E6</f>
        <v/>
      </c>
      <c r="F7" s="134">
        <f>F5-F6</f>
        <v/>
      </c>
      <c r="G7" s="134">
        <f>G5-G6</f>
        <v/>
      </c>
      <c r="H7" s="134">
        <f>H5-H6</f>
        <v/>
      </c>
    </row>
    <row r="9" ht="15" customHeight="1" s="108">
      <c r="B9" s="119" t="inlineStr">
        <is>
          <t>OPERATING EXPENSES:</t>
        </is>
      </c>
    </row>
    <row r="10" ht="15" customHeight="1" s="108">
      <c r="B10" s="135" t="inlineStr">
        <is>
          <t>Selling, General and Administrative</t>
        </is>
      </c>
      <c r="C10" s="136" t="n">
        <v>336</v>
      </c>
      <c r="D10" s="136" t="n">
        <v>348</v>
      </c>
      <c r="E10" s="136" t="n">
        <v>428</v>
      </c>
      <c r="F10" s="136" t="n">
        <v>463</v>
      </c>
      <c r="G10" s="136" t="n">
        <v>561</v>
      </c>
      <c r="H10" s="136" t="n">
        <v>642</v>
      </c>
    </row>
    <row r="11" ht="15" customHeight="1" s="108">
      <c r="B11" s="132" t="inlineStr">
        <is>
          <t>Research and Development</t>
        </is>
      </c>
      <c r="C11" s="133" t="n">
        <v>707</v>
      </c>
      <c r="D11" s="133" t="n">
        <v>768</v>
      </c>
      <c r="E11" s="133" t="n">
        <v>776</v>
      </c>
      <c r="F11" s="133" t="n">
        <v>882</v>
      </c>
      <c r="G11" s="133" t="n">
        <v>894</v>
      </c>
      <c r="H11" s="133" t="n">
        <v>919</v>
      </c>
    </row>
    <row r="12" ht="15" customHeight="1" s="108">
      <c r="B12" s="135" t="inlineStr">
        <is>
          <t>Other Expenses (Income), net</t>
        </is>
      </c>
      <c r="C12" s="136" t="n">
        <v>18</v>
      </c>
      <c r="D12" s="136" t="n">
        <v>6</v>
      </c>
      <c r="E12" s="136" t="n">
        <v>22</v>
      </c>
      <c r="F12" s="136" t="n">
        <v>19</v>
      </c>
      <c r="G12" s="136" t="n">
        <v>12</v>
      </c>
      <c r="H12" s="136" t="n">
        <v>34</v>
      </c>
    </row>
    <row r="13" ht="15" customHeight="1" s="108">
      <c r="B13" s="132" t="inlineStr">
        <is>
          <t>Results from Investments</t>
        </is>
      </c>
      <c r="C13" s="133" t="n">
        <v>0</v>
      </c>
      <c r="D13" s="133" t="n">
        <v>0</v>
      </c>
      <c r="E13" s="133" t="n">
        <v>0</v>
      </c>
      <c r="F13" s="133" t="n">
        <v>0</v>
      </c>
      <c r="G13" s="133" t="n">
        <v>-8</v>
      </c>
      <c r="H13" s="133" t="n">
        <v>-12</v>
      </c>
    </row>
    <row r="14" ht="15" customHeight="1" s="108">
      <c r="B14" s="137" t="inlineStr">
        <is>
          <t>Total Operating Expenses</t>
        </is>
      </c>
      <c r="C14" s="138">
        <f>SUM(C10:C13)</f>
        <v/>
      </c>
      <c r="D14" s="138">
        <f>SUM(D10:D13)</f>
        <v/>
      </c>
      <c r="E14" s="138">
        <f>SUM(E10:E13)</f>
        <v/>
      </c>
      <c r="F14" s="138">
        <f>SUM(F10:F13)</f>
        <v/>
      </c>
      <c r="G14" s="138">
        <f>SUM(G10:G13)</f>
        <v/>
      </c>
      <c r="H14" s="138">
        <f>SUM(H10:H13)</f>
        <v/>
      </c>
    </row>
    <row r="16" ht="15" customHeight="1" s="108">
      <c r="B16" s="130" t="inlineStr">
        <is>
          <t>Operating Income (EBIT)</t>
        </is>
      </c>
      <c r="C16" s="134">
        <f>C7-C14</f>
        <v/>
      </c>
      <c r="D16" s="134">
        <f>D7-D14</f>
        <v/>
      </c>
      <c r="E16" s="134">
        <f>E7-E14</f>
        <v/>
      </c>
      <c r="F16" s="134">
        <f>F7-F14</f>
        <v/>
      </c>
      <c r="G16" s="134">
        <f>G7-G14</f>
        <v/>
      </c>
      <c r="H16" s="134">
        <f>H7-H14</f>
        <v/>
      </c>
    </row>
    <row r="17" ht="15" customHeight="1" s="108">
      <c r="B17" s="135" t="inlineStr">
        <is>
          <t>Interest Expense, net</t>
        </is>
      </c>
      <c r="C17" s="136" t="n">
        <v>-50</v>
      </c>
      <c r="D17" s="136" t="n">
        <v>-38</v>
      </c>
      <c r="E17" s="136" t="n">
        <v>-54</v>
      </c>
      <c r="F17" s="136" t="n">
        <v>-36</v>
      </c>
      <c r="G17" s="136" t="n">
        <v>-47</v>
      </c>
      <c r="H17" s="136" t="n">
        <v>-41</v>
      </c>
    </row>
    <row r="18" ht="15" customHeight="1" s="108">
      <c r="B18" s="119" t="inlineStr">
        <is>
          <t>Income Before Taxes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  <c r="H18" s="139">
        <f>H16+H17</f>
        <v/>
      </c>
    </row>
    <row r="19" ht="15" customHeight="1" s="108">
      <c r="B19" s="132" t="inlineStr">
        <is>
          <t>Provision for Income Taxes</t>
        </is>
      </c>
      <c r="C19" s="133" t="n">
        <v>-58</v>
      </c>
      <c r="D19" s="133" t="n">
        <v>-209</v>
      </c>
      <c r="E19" s="133" t="n">
        <v>-238</v>
      </c>
      <c r="F19" s="133" t="n">
        <v>-345</v>
      </c>
      <c r="G19" s="133" t="n">
        <v>-363</v>
      </c>
      <c r="H19" s="133" t="n">
        <v>-464</v>
      </c>
    </row>
    <row r="20" ht="15" customHeight="1" s="108">
      <c r="B20" s="130" t="inlineStr">
        <is>
          <t>Net Income</t>
        </is>
      </c>
      <c r="C20" s="134">
        <f>C18+C19</f>
        <v/>
      </c>
      <c r="D20" s="134">
        <f>D18+D19</f>
        <v/>
      </c>
      <c r="E20" s="134">
        <f>E18+E19</f>
        <v/>
      </c>
      <c r="F20" s="134">
        <f>F18+F19</f>
        <v/>
      </c>
      <c r="G20" s="134">
        <f>G18+G19</f>
        <v/>
      </c>
      <c r="H20" s="134">
        <f>H18+H19</f>
        <v/>
      </c>
    </row>
    <row r="22" ht="15" customHeight="1" s="108">
      <c r="B22" s="140" t="inlineStr">
        <is>
          <t>MÉTRICAS DERIVADAS:</t>
        </is>
      </c>
    </row>
    <row r="23" ht="15" customHeight="1" s="108">
      <c r="B23" s="135" t="inlineStr">
        <is>
          <t>D&amp;A (from CF)</t>
        </is>
      </c>
      <c r="C23" s="136" t="n">
        <v>427</v>
      </c>
      <c r="D23" s="136" t="n">
        <v>456</v>
      </c>
      <c r="E23" s="136" t="n">
        <v>546</v>
      </c>
      <c r="F23" s="136" t="n">
        <v>662</v>
      </c>
      <c r="G23" s="136" t="n">
        <v>667</v>
      </c>
      <c r="H23" s="136" t="n">
        <v>662</v>
      </c>
    </row>
    <row r="24" ht="15" customHeight="1" s="108">
      <c r="B24" s="119" t="inlineStr">
        <is>
          <t>EBITDA</t>
        </is>
      </c>
      <c r="C24" s="139">
        <f>C16+C23</f>
        <v/>
      </c>
      <c r="D24" s="139">
        <f>D16+D23</f>
        <v/>
      </c>
      <c r="E24" s="139">
        <f>E16+E23</f>
        <v/>
      </c>
      <c r="F24" s="139">
        <f>F16+F23</f>
        <v/>
      </c>
      <c r="G24" s="139">
        <f>G16+G23</f>
        <v/>
      </c>
      <c r="H24" s="139">
        <f>H16+H23</f>
        <v/>
      </c>
    </row>
    <row r="25" ht="15" customHeight="1" s="108">
      <c r="B25" s="114" t="inlineStr">
        <is>
          <t>Operating Margin %</t>
        </is>
      </c>
      <c r="C25" s="141">
        <f>C16/C5</f>
        <v/>
      </c>
      <c r="D25" s="141">
        <f>D16/D5</f>
        <v/>
      </c>
      <c r="E25" s="141">
        <f>E16/E5</f>
        <v/>
      </c>
      <c r="F25" s="141">
        <f>F16/F5</f>
        <v/>
      </c>
      <c r="G25" s="141">
        <f>G16/G5</f>
        <v/>
      </c>
      <c r="H25" s="141">
        <f>H16/H5</f>
        <v/>
      </c>
    </row>
    <row r="26" ht="15" customHeight="1" s="108">
      <c r="B26" s="142" t="inlineStr">
        <is>
          <t>Net Margin %</t>
        </is>
      </c>
      <c r="C26" s="143">
        <f>C20/C5</f>
        <v/>
      </c>
      <c r="D26" s="143">
        <f>D20/D5</f>
        <v/>
      </c>
      <c r="E26" s="143">
        <f>E20/E5</f>
        <v/>
      </c>
      <c r="F26" s="143">
        <f>F20/F5</f>
        <v/>
      </c>
      <c r="G26" s="143">
        <f>G20/G5</f>
        <v/>
      </c>
      <c r="H26" s="143">
        <f>H20/H5</f>
        <v/>
      </c>
    </row>
    <row r="27" ht="15" customHeight="1" s="108">
      <c r="B27" s="114" t="inlineStr">
        <is>
          <t>Effective Tax Rate %</t>
        </is>
      </c>
      <c r="C27" s="141">
        <f>-C19/C18</f>
        <v/>
      </c>
      <c r="D27" s="141">
        <f>-D19/D18</f>
        <v/>
      </c>
      <c r="E27" s="141">
        <f>-E19/E18</f>
        <v/>
      </c>
      <c r="F27" s="141">
        <f>-F19/F18</f>
        <v/>
      </c>
      <c r="G27" s="141">
        <f>-G19/G18</f>
        <v/>
      </c>
      <c r="H27" s="141">
        <f>-H19/H18</f>
        <v/>
      </c>
    </row>
    <row r="29" ht="15" customHeight="1" s="108">
      <c r="B29" s="140" t="inlineStr">
        <is>
          <t>DATOS SUPLEMENTARIOS:</t>
        </is>
      </c>
    </row>
    <row r="30" ht="15" customHeight="1" s="108">
      <c r="B30" s="135" t="inlineStr">
        <is>
          <t>EPS Diluted (€)</t>
        </is>
      </c>
      <c r="C30" s="144" t="n">
        <v>3.28</v>
      </c>
      <c r="D30" s="144" t="n">
        <v>4.5</v>
      </c>
      <c r="E30" s="144" t="n">
        <v>5.09</v>
      </c>
      <c r="F30" s="144" t="n">
        <v>6.9</v>
      </c>
      <c r="G30" s="144" t="n">
        <v>8.460000000000001</v>
      </c>
      <c r="H30" s="144" t="n">
        <v>8.960000000000001</v>
      </c>
    </row>
    <row r="31" ht="15" customHeight="1" s="108">
      <c r="B31" s="132" t="inlineStr">
        <is>
          <t>Diluted Shares (M)</t>
        </is>
      </c>
      <c r="C31" s="145" t="n">
        <v>185.4</v>
      </c>
      <c r="D31" s="145" t="n">
        <v>184.7</v>
      </c>
      <c r="E31" s="145" t="n">
        <v>183.1</v>
      </c>
      <c r="F31" s="145" t="n">
        <v>181.5</v>
      </c>
      <c r="G31" s="145" t="n">
        <v>180</v>
      </c>
      <c r="H31" s="145" t="n">
        <v>178.3</v>
      </c>
    </row>
    <row r="32" ht="15" customHeight="1" s="108">
      <c r="B32" s="135" t="inlineStr">
        <is>
          <t>Stock-Based Compensation</t>
        </is>
      </c>
      <c r="C32" s="136" t="n">
        <v>0</v>
      </c>
      <c r="D32" s="136" t="n">
        <v>0</v>
      </c>
      <c r="E32" s="136" t="n">
        <v>0</v>
      </c>
      <c r="F32" s="136" t="n">
        <v>0</v>
      </c>
      <c r="G32" s="136" t="n">
        <v>0</v>
      </c>
      <c r="H32" s="136" t="n">
        <v>6</v>
      </c>
    </row>
    <row r="33" ht="15" customHeight="1" s="108">
      <c r="B33" s="132" t="inlineStr">
        <is>
          <t>SBC / Revenue</t>
        </is>
      </c>
      <c r="C33" s="141">
        <f>C32/C5</f>
        <v/>
      </c>
      <c r="D33" s="141">
        <f>D32/D5</f>
        <v/>
      </c>
      <c r="E33" s="141">
        <f>E32/E5</f>
        <v/>
      </c>
      <c r="F33" s="141">
        <f>F32/F5</f>
        <v/>
      </c>
      <c r="G33" s="141">
        <f>G32/G5</f>
        <v/>
      </c>
      <c r="H33" s="141">
        <f>H32/H5</f>
        <v/>
      </c>
    </row>
    <row r="35" ht="15" customHeight="1" s="108">
      <c r="B35" s="146" t="inlineStr">
        <is>
          <t>Source: Ferrari N.V. 20-F (SEC EDGAR) + FY2025 Press Release (Feb 2026) | ROIC.ai aggregates | DCE Holdings | EUR Millions</t>
        </is>
      </c>
    </row>
  </sheetData>
  <mergeCells count="3">
    <mergeCell ref="B3:H3"/>
    <mergeCell ref="B35:H35"/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B2:H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42" customWidth="1" style="107" min="2" max="2"/>
    <col width="14" customWidth="1" style="107" min="3" max="8"/>
  </cols>
  <sheetData>
    <row r="2" ht="15" customHeight="1" s="108">
      <c r="B2" s="127" t="inlineStr">
        <is>
          <t>BALANCE GENERAL — Ferrari N.V. (NYSE: RACE) | DCE Holdings</t>
        </is>
      </c>
    </row>
    <row r="3" ht="15" customHeight="1" s="108">
      <c r="B3" s="128" t="inlineStr">
        <is>
          <t>Source: Ferrari 20-F (SEC EDGAR) | EUR Millions</t>
        </is>
      </c>
    </row>
    <row r="4" ht="15" customHeight="1" s="108">
      <c r="B4" s="129" t="inlineStr">
        <is>
          <t>CONCEPTO (€M)</t>
        </is>
      </c>
      <c r="C4" s="129" t="inlineStr">
        <is>
          <t>FY 2020</t>
        </is>
      </c>
      <c r="D4" s="129" t="inlineStr">
        <is>
          <t>FY 2021</t>
        </is>
      </c>
      <c r="E4" s="129" t="inlineStr">
        <is>
          <t>FY 2022</t>
        </is>
      </c>
      <c r="F4" s="129" t="inlineStr">
        <is>
          <t>FY 2023</t>
        </is>
      </c>
      <c r="G4" s="129" t="inlineStr">
        <is>
          <t>FY 2024</t>
        </is>
      </c>
      <c r="H4" s="129" t="inlineStr">
        <is>
          <t>FY 2025</t>
        </is>
      </c>
    </row>
    <row r="5" ht="15" customHeight="1" s="108">
      <c r="B5" s="113" t="inlineStr">
        <is>
          <t>ACTIVOS</t>
        </is>
      </c>
      <c r="C5" s="147" t="n"/>
      <c r="D5" s="147" t="n"/>
      <c r="E5" s="147" t="n"/>
      <c r="F5" s="147" t="n"/>
      <c r="G5" s="147" t="n"/>
      <c r="H5" s="147" t="n"/>
    </row>
    <row r="6" ht="15" customHeight="1" s="108">
      <c r="B6" s="132" t="inlineStr">
        <is>
          <t>Cash and Cash Equivalents</t>
        </is>
      </c>
      <c r="C6" s="133" t="n">
        <v>1667</v>
      </c>
      <c r="D6" s="133" t="n">
        <v>1344</v>
      </c>
      <c r="E6" s="133" t="n">
        <v>1389</v>
      </c>
      <c r="F6" s="133" t="n">
        <v>1122</v>
      </c>
      <c r="G6" s="133" t="n">
        <v>1742</v>
      </c>
      <c r="H6" s="133" t="n">
        <v>1468</v>
      </c>
    </row>
    <row r="7" ht="15" customHeight="1" s="108">
      <c r="B7" s="135" t="inlineStr">
        <is>
          <t>Cash + Short-Term Investments</t>
        </is>
      </c>
      <c r="C7" s="136" t="n">
        <v>1714</v>
      </c>
      <c r="D7" s="136" t="n">
        <v>1346</v>
      </c>
      <c r="E7" s="136" t="n">
        <v>1396</v>
      </c>
      <c r="F7" s="136" t="n">
        <v>1128</v>
      </c>
      <c r="G7" s="136" t="n">
        <v>1748</v>
      </c>
      <c r="H7" s="136" t="n">
        <v>1472</v>
      </c>
    </row>
    <row r="8" ht="15" customHeight="1" s="108">
      <c r="B8" s="132" t="inlineStr">
        <is>
          <t>Trade Receivables</t>
        </is>
      </c>
      <c r="C8" s="133" t="n">
        <v>283</v>
      </c>
      <c r="D8" s="133" t="n">
        <v>650</v>
      </c>
      <c r="E8" s="133" t="n">
        <v>800</v>
      </c>
      <c r="F8" s="133" t="n">
        <v>950</v>
      </c>
      <c r="G8" s="133" t="n">
        <v>1100</v>
      </c>
      <c r="H8" s="133" t="n">
        <v>1100</v>
      </c>
    </row>
    <row r="9" ht="15" customHeight="1" s="108">
      <c r="B9" s="135" t="inlineStr">
        <is>
          <t>Inventories</t>
        </is>
      </c>
      <c r="C9" s="136" t="n">
        <v>475</v>
      </c>
      <c r="D9" s="136" t="n">
        <v>510</v>
      </c>
      <c r="E9" s="136" t="n">
        <v>645</v>
      </c>
      <c r="F9" s="136" t="n">
        <v>716</v>
      </c>
      <c r="G9" s="136" t="n">
        <v>800</v>
      </c>
      <c r="H9" s="136" t="n">
        <v>880</v>
      </c>
    </row>
    <row r="10" ht="15" customHeight="1" s="108">
      <c r="B10" s="132" t="inlineStr">
        <is>
          <t>Other Current Assets</t>
        </is>
      </c>
      <c r="C10" s="133" t="n">
        <v>350</v>
      </c>
      <c r="D10" s="133" t="n">
        <v>858</v>
      </c>
      <c r="E10" s="133" t="n">
        <v>1112</v>
      </c>
      <c r="F10" s="133" t="n">
        <v>1192</v>
      </c>
      <c r="G10" s="133" t="n">
        <v>1372</v>
      </c>
      <c r="H10" s="133" t="n">
        <v>1372</v>
      </c>
    </row>
    <row r="11" ht="15" customHeight="1" s="108">
      <c r="B11" s="137" t="inlineStr">
        <is>
          <t>Total Current Assets</t>
        </is>
      </c>
      <c r="C11" s="148" t="n">
        <v>2822</v>
      </c>
      <c r="D11" s="148" t="n">
        <v>3364</v>
      </c>
      <c r="E11" s="148" t="n">
        <v>3953</v>
      </c>
      <c r="F11" s="148" t="n">
        <v>3986</v>
      </c>
      <c r="G11" s="148" t="n">
        <v>5020</v>
      </c>
      <c r="H11" s="148" t="n">
        <v>4824</v>
      </c>
    </row>
    <row r="13" ht="15" customHeight="1" s="108">
      <c r="B13" s="135" t="inlineStr">
        <is>
          <t>Property, Plant and Equipment, Net</t>
        </is>
      </c>
      <c r="C13" s="136" t="n">
        <v>1501</v>
      </c>
      <c r="D13" s="136" t="n">
        <v>1353</v>
      </c>
      <c r="E13" s="136" t="n">
        <v>1458</v>
      </c>
      <c r="F13" s="136" t="n">
        <v>1575</v>
      </c>
      <c r="G13" s="136" t="n">
        <v>1829</v>
      </c>
      <c r="H13" s="136" t="n">
        <v>2058</v>
      </c>
    </row>
    <row r="14" ht="15" customHeight="1" s="108">
      <c r="B14" s="132" t="inlineStr">
        <is>
          <t>Goodwill</t>
        </is>
      </c>
      <c r="C14" s="133" t="n">
        <v>961</v>
      </c>
      <c r="D14" s="133" t="n">
        <v>785</v>
      </c>
      <c r="E14" s="133" t="n">
        <v>785</v>
      </c>
      <c r="F14" s="133" t="n">
        <v>785</v>
      </c>
      <c r="G14" s="133" t="n">
        <v>785</v>
      </c>
      <c r="H14" s="133" t="n">
        <v>785</v>
      </c>
    </row>
    <row r="15" ht="15" customHeight="1" s="108">
      <c r="B15" s="135" t="inlineStr">
        <is>
          <t>Other Intangible Assets</t>
        </is>
      </c>
      <c r="C15" s="136" t="n">
        <v>1198</v>
      </c>
      <c r="D15" s="136" t="n">
        <v>1138</v>
      </c>
      <c r="E15" s="136" t="n">
        <v>1307</v>
      </c>
      <c r="F15" s="136" t="n">
        <v>1420</v>
      </c>
      <c r="G15" s="136" t="n">
        <v>1546</v>
      </c>
      <c r="H15" s="136" t="n">
        <v>1638</v>
      </c>
    </row>
    <row r="16" ht="15" customHeight="1" s="108">
      <c r="B16" s="132" t="inlineStr">
        <is>
          <t>Long-Term Financial Services Receivables</t>
        </is>
      </c>
      <c r="C16" s="133" t="n">
        <v>800</v>
      </c>
      <c r="D16" s="133" t="n">
        <v>850</v>
      </c>
      <c r="E16" s="133" t="n">
        <v>900</v>
      </c>
      <c r="F16" s="133" t="n">
        <v>950</v>
      </c>
      <c r="G16" s="133" t="n">
        <v>1000</v>
      </c>
      <c r="H16" s="133" t="n">
        <v>1100</v>
      </c>
    </row>
    <row r="17" ht="15" customHeight="1" s="108">
      <c r="B17" s="135" t="inlineStr">
        <is>
          <t>Deferred Tax Assets</t>
        </is>
      </c>
      <c r="C17" s="136" t="n">
        <v>180</v>
      </c>
      <c r="D17" s="136" t="n">
        <v>220</v>
      </c>
      <c r="E17" s="136" t="n">
        <v>260</v>
      </c>
      <c r="F17" s="136" t="n">
        <v>320</v>
      </c>
      <c r="G17" s="136" t="n">
        <v>350</v>
      </c>
      <c r="H17" s="136" t="n">
        <v>400</v>
      </c>
    </row>
    <row r="18" ht="15" customHeight="1" s="108">
      <c r="B18" s="132" t="inlineStr">
        <is>
          <t>Other Non-Current Assets</t>
        </is>
      </c>
      <c r="C18" s="133" t="n">
        <v>200</v>
      </c>
      <c r="D18" s="133" t="n">
        <v>154</v>
      </c>
      <c r="E18" s="133" t="n">
        <v>103</v>
      </c>
      <c r="F18" s="133" t="n">
        <v>15</v>
      </c>
      <c r="G18" s="133" t="n">
        <v>-33</v>
      </c>
      <c r="H18" s="133" t="n">
        <v>-177</v>
      </c>
    </row>
    <row r="20" ht="15" customHeight="1" s="108">
      <c r="B20" s="130" t="inlineStr">
        <is>
          <t>Total Assets</t>
        </is>
      </c>
      <c r="C20" s="131" t="n">
        <v>7662</v>
      </c>
      <c r="D20" s="131" t="n">
        <v>6864</v>
      </c>
      <c r="E20" s="131" t="n">
        <v>7766</v>
      </c>
      <c r="F20" s="131" t="n">
        <v>8051</v>
      </c>
      <c r="G20" s="131" t="n">
        <v>9497</v>
      </c>
      <c r="H20" s="131" t="n">
        <v>9628</v>
      </c>
    </row>
    <row r="22" ht="15" customHeight="1" s="108">
      <c r="B22" s="113" t="inlineStr">
        <is>
          <t>PASIVOS</t>
        </is>
      </c>
      <c r="C22" s="147" t="n"/>
      <c r="D22" s="147" t="n"/>
      <c r="E22" s="147" t="n"/>
      <c r="F22" s="147" t="n"/>
      <c r="G22" s="147" t="n"/>
      <c r="H22" s="147" t="n"/>
    </row>
    <row r="23" ht="15" customHeight="1" s="108">
      <c r="B23" s="135" t="inlineStr">
        <is>
          <t>Accounts Payable</t>
        </is>
      </c>
      <c r="C23" s="136" t="n">
        <v>600</v>
      </c>
      <c r="D23" s="136" t="n">
        <v>700</v>
      </c>
      <c r="E23" s="136" t="n">
        <v>800</v>
      </c>
      <c r="F23" s="136" t="n">
        <v>900</v>
      </c>
      <c r="G23" s="136" t="n">
        <v>1000</v>
      </c>
      <c r="H23" s="136" t="n">
        <v>1050</v>
      </c>
    </row>
    <row r="24" ht="15" customHeight="1" s="108">
      <c r="B24" s="132" t="inlineStr">
        <is>
          <t>Short-Term Debt</t>
        </is>
      </c>
      <c r="C24" s="133" t="n">
        <v>1088</v>
      </c>
      <c r="D24" s="133" t="n">
        <v>0</v>
      </c>
      <c r="E24" s="133" t="n">
        <v>0</v>
      </c>
      <c r="F24" s="133" t="n">
        <v>0</v>
      </c>
      <c r="G24" s="133" t="n">
        <v>0</v>
      </c>
      <c r="H24" s="133" t="n">
        <v>931</v>
      </c>
    </row>
    <row r="25" ht="15" customHeight="1" s="108">
      <c r="B25" s="135" t="inlineStr">
        <is>
          <t>Short-Term Provisions</t>
        </is>
      </c>
      <c r="C25" s="136" t="n">
        <v>100</v>
      </c>
      <c r="D25" s="136" t="n">
        <v>150</v>
      </c>
      <c r="E25" s="136" t="n">
        <v>175</v>
      </c>
      <c r="F25" s="136" t="n">
        <v>200</v>
      </c>
      <c r="G25" s="136" t="n">
        <v>220</v>
      </c>
      <c r="H25" s="136" t="n">
        <v>240</v>
      </c>
    </row>
    <row r="26" ht="15" customHeight="1" s="108">
      <c r="B26" s="132" t="inlineStr">
        <is>
          <t>Other Current Liabilities</t>
        </is>
      </c>
      <c r="C26" s="133" t="n">
        <v>357</v>
      </c>
      <c r="D26" s="133" t="n">
        <v>476</v>
      </c>
      <c r="E26" s="133" t="n">
        <v>438</v>
      </c>
      <c r="F26" s="133" t="n">
        <v>387</v>
      </c>
      <c r="G26" s="133" t="n">
        <v>271</v>
      </c>
      <c r="H26" s="133" t="n">
        <v>169</v>
      </c>
    </row>
    <row r="27" ht="15" customHeight="1" s="108">
      <c r="B27" s="137" t="inlineStr">
        <is>
          <t>Total Current Liabilities</t>
        </is>
      </c>
      <c r="C27" s="148" t="n">
        <v>2145</v>
      </c>
      <c r="D27" s="148" t="n">
        <v>1326</v>
      </c>
      <c r="E27" s="148" t="n">
        <v>1413</v>
      </c>
      <c r="F27" s="148" t="n">
        <v>1487</v>
      </c>
      <c r="G27" s="148" t="n">
        <v>1491</v>
      </c>
      <c r="H27" s="148" t="n">
        <v>2390</v>
      </c>
    </row>
    <row r="29" ht="15" customHeight="1" s="108">
      <c r="B29" s="135" t="inlineStr">
        <is>
          <t>Long-Term Debt</t>
        </is>
      </c>
      <c r="C29" s="136" t="n">
        <v>2190</v>
      </c>
      <c r="D29" s="136" t="n">
        <v>2574</v>
      </c>
      <c r="E29" s="136" t="n">
        <v>2754</v>
      </c>
      <c r="F29" s="136" t="n">
        <v>2404</v>
      </c>
      <c r="G29" s="136" t="n">
        <v>3226</v>
      </c>
      <c r="H29" s="136" t="n">
        <v>1791</v>
      </c>
    </row>
    <row r="30" ht="15" customHeight="1" s="108">
      <c r="B30" s="132" t="inlineStr">
        <is>
          <t>Lease Liabilities (Non-Current)</t>
        </is>
      </c>
      <c r="C30" s="133" t="n">
        <v>56</v>
      </c>
      <c r="D30" s="133" t="n">
        <v>56</v>
      </c>
      <c r="E30" s="133" t="n">
        <v>57</v>
      </c>
      <c r="F30" s="133" t="n">
        <v>73</v>
      </c>
      <c r="G30" s="133" t="n">
        <v>126</v>
      </c>
      <c r="H30" s="133" t="n">
        <v>162</v>
      </c>
    </row>
    <row r="31" ht="15" customHeight="1" s="108">
      <c r="B31" s="135" t="inlineStr">
        <is>
          <t>Long-Term Provisions</t>
        </is>
      </c>
      <c r="C31" s="136" t="n">
        <v>250</v>
      </c>
      <c r="D31" s="136" t="n">
        <v>280</v>
      </c>
      <c r="E31" s="136" t="n">
        <v>300</v>
      </c>
      <c r="F31" s="136" t="n">
        <v>340</v>
      </c>
      <c r="G31" s="136" t="n">
        <v>380</v>
      </c>
      <c r="H31" s="136" t="n">
        <v>410</v>
      </c>
    </row>
    <row r="32" ht="15" customHeight="1" s="108">
      <c r="B32" s="132" t="inlineStr">
        <is>
          <t>Deferred Tax Liabilities</t>
        </is>
      </c>
      <c r="C32" s="133" t="n">
        <v>350</v>
      </c>
      <c r="D32" s="133" t="n">
        <v>350</v>
      </c>
      <c r="E32" s="133" t="n">
        <v>370</v>
      </c>
      <c r="F32" s="133" t="n">
        <v>400</v>
      </c>
      <c r="G32" s="133" t="n">
        <v>420</v>
      </c>
      <c r="H32" s="133" t="n">
        <v>440</v>
      </c>
    </row>
    <row r="33" ht="15" customHeight="1" s="108">
      <c r="B33" s="135" t="inlineStr">
        <is>
          <t>Other Non-Current Liabilities</t>
        </is>
      </c>
      <c r="C33" s="136" t="n">
        <v>289</v>
      </c>
      <c r="D33" s="136" t="n">
        <v>72</v>
      </c>
      <c r="E33" s="136" t="n">
        <v>279</v>
      </c>
      <c r="F33" s="136" t="n">
        <v>290</v>
      </c>
      <c r="G33" s="136" t="n">
        <v>346</v>
      </c>
      <c r="H33" s="136" t="n">
        <v>528</v>
      </c>
    </row>
    <row r="35" ht="15" customHeight="1" s="108">
      <c r="B35" s="130" t="inlineStr">
        <is>
          <t>Total Liabilities</t>
        </is>
      </c>
      <c r="C35" s="131" t="n">
        <v>5478</v>
      </c>
      <c r="D35" s="131" t="n">
        <v>4658</v>
      </c>
      <c r="E35" s="131" t="n">
        <v>5173</v>
      </c>
      <c r="F35" s="131" t="n">
        <v>4990</v>
      </c>
      <c r="G35" s="131" t="n">
        <v>5963</v>
      </c>
      <c r="H35" s="131" t="n">
        <v>5721</v>
      </c>
    </row>
    <row r="37" ht="15" customHeight="1" s="108">
      <c r="B37" s="113" t="inlineStr">
        <is>
          <t>PATRIMONIO</t>
        </is>
      </c>
      <c r="C37" s="147" t="n"/>
      <c r="D37" s="147" t="n"/>
      <c r="E37" s="147" t="n"/>
      <c r="F37" s="147" t="n"/>
      <c r="G37" s="147" t="n"/>
      <c r="H37" s="147" t="n"/>
    </row>
    <row r="38" ht="15" customHeight="1" s="108">
      <c r="B38" s="149" t="inlineStr">
        <is>
          <t>Total Stockholders' Equity</t>
        </is>
      </c>
      <c r="C38" s="131" t="n">
        <v>2184</v>
      </c>
      <c r="D38" s="131" t="n">
        <v>2206</v>
      </c>
      <c r="E38" s="131" t="n">
        <v>2593</v>
      </c>
      <c r="F38" s="131" t="n">
        <v>3061</v>
      </c>
      <c r="G38" s="131" t="n">
        <v>3534</v>
      </c>
      <c r="H38" s="131" t="n">
        <v>3907</v>
      </c>
    </row>
    <row r="40" ht="15" customHeight="1" s="108">
      <c r="B40" s="137" t="inlineStr">
        <is>
          <t>Total Liabilities + Equity (check)</t>
        </is>
      </c>
      <c r="C40" s="138">
        <f>C35+C38</f>
        <v/>
      </c>
      <c r="D40" s="138">
        <f>D35+D38</f>
        <v/>
      </c>
      <c r="E40" s="138">
        <f>E35+E38</f>
        <v/>
      </c>
      <c r="F40" s="138">
        <f>F35+F38</f>
        <v/>
      </c>
      <c r="G40" s="138">
        <f>G35+G38</f>
        <v/>
      </c>
      <c r="H40" s="138">
        <f>H35+H38</f>
        <v/>
      </c>
    </row>
    <row r="42" ht="15" customHeight="1" s="108">
      <c r="B42" s="140" t="inlineStr">
        <is>
          <t>DATOS SUPLEMENTARIOS:</t>
        </is>
      </c>
    </row>
    <row r="43" ht="15" customHeight="1" s="108">
      <c r="B43" s="132" t="inlineStr">
        <is>
          <t>Cash + Short-Term Investments</t>
        </is>
      </c>
      <c r="C43" s="150">
        <f>C7</f>
        <v/>
      </c>
      <c r="D43" s="150">
        <f>D7</f>
        <v/>
      </c>
      <c r="E43" s="150">
        <f>E7</f>
        <v/>
      </c>
      <c r="F43" s="150">
        <f>F7</f>
        <v/>
      </c>
      <c r="G43" s="150">
        <f>G7</f>
        <v/>
      </c>
      <c r="H43" s="150">
        <f>H7</f>
        <v/>
      </c>
    </row>
    <row r="44" ht="15" customHeight="1" s="108">
      <c r="B44" s="135" t="inlineStr">
        <is>
          <t>Total Debt</t>
        </is>
      </c>
      <c r="C44" s="151">
        <f>C24+C29</f>
        <v/>
      </c>
      <c r="D44" s="151">
        <f>D24+D29</f>
        <v/>
      </c>
      <c r="E44" s="151">
        <f>E24+E29</f>
        <v/>
      </c>
      <c r="F44" s="151">
        <f>F24+F29</f>
        <v/>
      </c>
      <c r="G44" s="151">
        <f>G24+G29</f>
        <v/>
      </c>
      <c r="H44" s="151">
        <f>H24+H29</f>
        <v/>
      </c>
    </row>
    <row r="45" ht="15" customHeight="1" s="108">
      <c r="B45" s="130" t="inlineStr">
        <is>
          <t>Net Debt (Total Debt + Leases − Cash &amp; STI)</t>
        </is>
      </c>
      <c r="C45" s="134">
        <f>C44+C30-C43</f>
        <v/>
      </c>
      <c r="D45" s="134">
        <f>D44+D30-D43</f>
        <v/>
      </c>
      <c r="E45" s="134">
        <f>E44+E30-E43</f>
        <v/>
      </c>
      <c r="F45" s="134">
        <f>F44+F30-F43</f>
        <v/>
      </c>
      <c r="G45" s="134">
        <f>G44+G30-G43</f>
        <v/>
      </c>
      <c r="H45" s="134">
        <f>H44+H30-H43</f>
        <v/>
      </c>
    </row>
    <row r="46" ht="15" customHeight="1" s="108">
      <c r="B46" s="132" t="inlineStr">
        <is>
          <t>Book Value per Share (€)</t>
        </is>
      </c>
      <c r="C46" s="152">
        <f>C38/'2. IS'!C31</f>
        <v/>
      </c>
      <c r="D46" s="152">
        <f>D38/'2. IS'!D31</f>
        <v/>
      </c>
      <c r="E46" s="152">
        <f>E38/'2. IS'!E31</f>
        <v/>
      </c>
      <c r="F46" s="152">
        <f>F38/'2. IS'!F31</f>
        <v/>
      </c>
      <c r="G46" s="152">
        <f>G38/'2. IS'!G31</f>
        <v/>
      </c>
      <c r="H46" s="152">
        <f>H38/'2. IS'!H31</f>
        <v/>
      </c>
    </row>
    <row r="48" ht="15" customHeight="1" s="108">
      <c r="B48" s="146" t="inlineStr">
        <is>
          <t>Source: Ferrari 20-F balance sheets + Q4 press release | DCE Holdings | EUR Millions</t>
        </is>
      </c>
    </row>
  </sheetData>
  <mergeCells count="3">
    <mergeCell ref="B3:H3"/>
    <mergeCell ref="B2:H2"/>
    <mergeCell ref="B48:H4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B2:H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42" customWidth="1" style="107" min="2" max="2"/>
    <col width="14" customWidth="1" style="107" min="3" max="8"/>
  </cols>
  <sheetData>
    <row r="2" ht="15" customHeight="1" s="108">
      <c r="B2" s="127" t="inlineStr">
        <is>
          <t>ESTADO DE FLUJOS DE EFECTIVO — Ferrari N.V. (NYSE: RACE) | DCE Holdings</t>
        </is>
      </c>
    </row>
    <row r="3" ht="15" customHeight="1" s="108">
      <c r="B3" s="128" t="inlineStr">
        <is>
          <t>Source: Ferrari 20-F (SEC EDGAR) + Press Releases | EUR Millions</t>
        </is>
      </c>
    </row>
    <row r="4" ht="15" customHeight="1" s="108">
      <c r="B4" s="129" t="inlineStr">
        <is>
          <t>CONCEPTO (€M)</t>
        </is>
      </c>
      <c r="C4" s="129" t="inlineStr">
        <is>
          <t>FY 2020</t>
        </is>
      </c>
      <c r="D4" s="129" t="inlineStr">
        <is>
          <t>FY 2021</t>
        </is>
      </c>
      <c r="E4" s="129" t="inlineStr">
        <is>
          <t>FY 2022</t>
        </is>
      </c>
      <c r="F4" s="129" t="inlineStr">
        <is>
          <t>FY 2023</t>
        </is>
      </c>
      <c r="G4" s="129" t="inlineStr">
        <is>
          <t>FY 2024</t>
        </is>
      </c>
      <c r="H4" s="129" t="inlineStr">
        <is>
          <t>FY 2025</t>
        </is>
      </c>
    </row>
    <row r="5" ht="15" customHeight="1" s="108">
      <c r="B5" s="113" t="inlineStr">
        <is>
          <t>OPERACIONES</t>
        </is>
      </c>
      <c r="C5" s="147" t="n"/>
      <c r="D5" s="147" t="n"/>
      <c r="E5" s="147" t="n"/>
      <c r="F5" s="147" t="n"/>
      <c r="G5" s="147" t="n"/>
      <c r="H5" s="147" t="n"/>
    </row>
    <row r="6" ht="15" customHeight="1" s="108">
      <c r="B6" s="132" t="inlineStr">
        <is>
          <t>Net Income</t>
        </is>
      </c>
      <c r="C6" s="150">
        <f>'2. IS'!C20</f>
        <v/>
      </c>
      <c r="D6" s="150">
        <f>'2. IS'!D20</f>
        <v/>
      </c>
      <c r="E6" s="150">
        <f>'2. IS'!E20</f>
        <v/>
      </c>
      <c r="F6" s="150">
        <f>'2. IS'!F20</f>
        <v/>
      </c>
      <c r="G6" s="150">
        <f>'2. IS'!G20</f>
        <v/>
      </c>
      <c r="H6" s="150">
        <f>'2. IS'!H20</f>
        <v/>
      </c>
    </row>
    <row r="7" ht="15" customHeight="1" s="108">
      <c r="B7" s="135" t="inlineStr">
        <is>
          <t>Depreciation and Amortization</t>
        </is>
      </c>
      <c r="C7" s="136" t="n">
        <v>427</v>
      </c>
      <c r="D7" s="136" t="n">
        <v>456</v>
      </c>
      <c r="E7" s="136" t="n">
        <v>546</v>
      </c>
      <c r="F7" s="136" t="n">
        <v>662</v>
      </c>
      <c r="G7" s="136" t="n">
        <v>667</v>
      </c>
      <c r="H7" s="136" t="n">
        <v>1137</v>
      </c>
    </row>
    <row r="8" ht="15" customHeight="1" s="108">
      <c r="B8" s="132" t="inlineStr">
        <is>
          <t>Stock-Based Compensation</t>
        </is>
      </c>
      <c r="C8" s="133" t="n">
        <v>0</v>
      </c>
      <c r="D8" s="133" t="n">
        <v>0</v>
      </c>
      <c r="E8" s="133" t="n">
        <v>0</v>
      </c>
      <c r="F8" s="133" t="n">
        <v>0</v>
      </c>
      <c r="G8" s="133" t="n">
        <v>0</v>
      </c>
      <c r="H8" s="133" t="n">
        <v>6</v>
      </c>
    </row>
    <row r="9" ht="15" customHeight="1" s="108">
      <c r="B9" s="135" t="inlineStr">
        <is>
          <t>Changes in Operating Assets and Liabilities</t>
        </is>
      </c>
      <c r="C9" s="136" t="n">
        <v>-221</v>
      </c>
      <c r="D9" s="136" t="n">
        <v>-160</v>
      </c>
      <c r="E9" s="136" t="n">
        <v>-146</v>
      </c>
      <c r="F9" s="136" t="n">
        <v>-358</v>
      </c>
      <c r="G9" s="136" t="n">
        <v>-383</v>
      </c>
      <c r="H9" s="136" t="n">
        <v>-148</v>
      </c>
    </row>
    <row r="10" ht="15" customHeight="1" s="108">
      <c r="B10" s="130" t="inlineStr">
        <is>
          <t>Cash from Operations</t>
        </is>
      </c>
      <c r="C10" s="131" t="n">
        <v>838</v>
      </c>
      <c r="D10" s="131" t="n">
        <v>1283</v>
      </c>
      <c r="E10" s="131" t="n">
        <v>1403</v>
      </c>
      <c r="F10" s="131" t="n">
        <v>1717</v>
      </c>
      <c r="G10" s="131" t="n">
        <v>1927</v>
      </c>
      <c r="H10" s="131" t="n">
        <v>4179</v>
      </c>
    </row>
    <row r="12" ht="15" customHeight="1" s="108">
      <c r="B12" s="113" t="inlineStr">
        <is>
          <t>INVERSIÓN</t>
        </is>
      </c>
      <c r="C12" s="147" t="n"/>
      <c r="D12" s="147" t="n"/>
      <c r="E12" s="147" t="n"/>
      <c r="F12" s="147" t="n"/>
      <c r="G12" s="147" t="n"/>
      <c r="H12" s="147" t="n"/>
    </row>
    <row r="13" ht="15" customHeight="1" s="108">
      <c r="B13" s="132" t="inlineStr">
        <is>
          <t>Capital Expenditures</t>
        </is>
      </c>
      <c r="C13" s="133" t="n">
        <v>-709</v>
      </c>
      <c r="D13" s="133" t="n">
        <v>-737</v>
      </c>
      <c r="E13" s="133" t="n">
        <v>-805</v>
      </c>
      <c r="F13" s="133" t="n">
        <v>-869</v>
      </c>
      <c r="G13" s="133" t="n">
        <v>-989</v>
      </c>
      <c r="H13" s="133" t="n">
        <v>-1522</v>
      </c>
    </row>
    <row r="14" ht="15" customHeight="1" s="108">
      <c r="B14" s="135" t="inlineStr">
        <is>
          <t>Other Investing Activities</t>
        </is>
      </c>
      <c r="C14" s="136" t="n">
        <v>9</v>
      </c>
      <c r="D14" s="136" t="n">
        <v>-63</v>
      </c>
      <c r="E14" s="136" t="n">
        <v>-45</v>
      </c>
      <c r="F14" s="136" t="n">
        <v>-31</v>
      </c>
      <c r="G14" s="136" t="n">
        <v>-211</v>
      </c>
      <c r="H14" s="136" t="n">
        <v>22</v>
      </c>
    </row>
    <row r="15" ht="15" customHeight="1" s="108">
      <c r="B15" s="130" t="inlineStr">
        <is>
          <t>Cash from Investing</t>
        </is>
      </c>
      <c r="C15" s="131" t="n">
        <v>-700</v>
      </c>
      <c r="D15" s="131" t="n">
        <v>-800</v>
      </c>
      <c r="E15" s="131" t="n">
        <v>-850</v>
      </c>
      <c r="F15" s="131" t="n">
        <v>-900</v>
      </c>
      <c r="G15" s="131" t="n">
        <v>-1200</v>
      </c>
      <c r="H15" s="131" t="n">
        <v>-1500</v>
      </c>
    </row>
    <row r="17" ht="15" customHeight="1" s="108">
      <c r="B17" s="113" t="inlineStr">
        <is>
          <t>FINANCIAMIENTO</t>
        </is>
      </c>
      <c r="C17" s="147" t="n"/>
      <c r="D17" s="147" t="n"/>
      <c r="E17" s="147" t="n"/>
      <c r="F17" s="147" t="n"/>
      <c r="G17" s="147" t="n"/>
      <c r="H17" s="147" t="n"/>
    </row>
    <row r="18" ht="15" customHeight="1" s="108">
      <c r="B18" s="132" t="inlineStr">
        <is>
          <t>Repurchases of Common Stock</t>
        </is>
      </c>
      <c r="C18" s="133" t="n">
        <v>-130</v>
      </c>
      <c r="D18" s="133" t="n">
        <v>-231</v>
      </c>
      <c r="E18" s="133" t="n">
        <v>-397</v>
      </c>
      <c r="F18" s="133" t="n">
        <v>-461</v>
      </c>
      <c r="G18" s="133" t="n">
        <v>-581</v>
      </c>
      <c r="H18" s="133" t="n">
        <v>-1341</v>
      </c>
    </row>
    <row r="19" ht="15" customHeight="1" s="108">
      <c r="B19" s="135" t="inlineStr">
        <is>
          <t>Dividends Paid</t>
        </is>
      </c>
      <c r="C19" s="136" t="n">
        <v>-208</v>
      </c>
      <c r="D19" s="136" t="n">
        <v>-160</v>
      </c>
      <c r="E19" s="136" t="n">
        <v>-250</v>
      </c>
      <c r="F19" s="136" t="n">
        <v>-329</v>
      </c>
      <c r="G19" s="136" t="n">
        <v>-440</v>
      </c>
      <c r="H19" s="136" t="n">
        <v>-1059</v>
      </c>
    </row>
    <row r="20" ht="15" customHeight="1" s="108">
      <c r="B20" s="132" t="inlineStr">
        <is>
          <t>Net Debt Issuance / Other Financing</t>
        </is>
      </c>
      <c r="C20" s="133" t="n">
        <v>438</v>
      </c>
      <c r="D20" s="133" t="n">
        <v>-109</v>
      </c>
      <c r="E20" s="133" t="n">
        <v>47</v>
      </c>
      <c r="F20" s="133" t="n">
        <v>90</v>
      </c>
      <c r="G20" s="133" t="n">
        <v>221</v>
      </c>
      <c r="H20" s="133" t="n">
        <v>-400</v>
      </c>
    </row>
    <row r="21" ht="15" customHeight="1" s="108">
      <c r="B21" s="130" t="inlineStr">
        <is>
          <t>Cash from Financing</t>
        </is>
      </c>
      <c r="C21" s="131" t="n">
        <v>-200</v>
      </c>
      <c r="D21" s="131" t="n">
        <v>-500</v>
      </c>
      <c r="E21" s="131" t="n">
        <v>-600</v>
      </c>
      <c r="F21" s="131" t="n">
        <v>-700</v>
      </c>
      <c r="G21" s="131" t="n">
        <v>-800</v>
      </c>
      <c r="H21" s="131" t="n">
        <v>-2800</v>
      </c>
    </row>
    <row r="23" ht="15" customHeight="1" s="108">
      <c r="B23" s="153" t="inlineStr">
        <is>
          <t>Net Change in Cash</t>
        </is>
      </c>
      <c r="C23" s="154">
        <f>C10+C15+C21</f>
        <v/>
      </c>
      <c r="D23" s="154">
        <f>D10+D15+D21</f>
        <v/>
      </c>
      <c r="E23" s="154">
        <f>E10+E15+E21</f>
        <v/>
      </c>
      <c r="F23" s="154">
        <f>F10+F15+F21</f>
        <v/>
      </c>
      <c r="G23" s="154">
        <f>G10+G15+G21</f>
        <v/>
      </c>
      <c r="H23" s="154">
        <f>H10+H15+H21</f>
        <v/>
      </c>
    </row>
    <row r="25" ht="15" customHeight="1" s="108">
      <c r="B25" s="137" t="inlineStr">
        <is>
          <t>Free Cash Flow</t>
        </is>
      </c>
      <c r="C25" s="138">
        <f>C10+C13</f>
        <v/>
      </c>
      <c r="D25" s="138">
        <f>D10+D13</f>
        <v/>
      </c>
      <c r="E25" s="138">
        <f>E10+E13</f>
        <v/>
      </c>
      <c r="F25" s="138">
        <f>F10+F13</f>
        <v/>
      </c>
      <c r="G25" s="138">
        <f>G10+G13</f>
        <v/>
      </c>
      <c r="H25" s="138">
        <f>H10+H13</f>
        <v/>
      </c>
    </row>
    <row r="27" ht="15" customHeight="1" s="108">
      <c r="B27" s="146" t="inlineStr">
        <is>
          <t>Source: Ferrari 20-F cash flow statements + FY2025 Press Release | DCE Holdings | EUR Millions. Note: 2025 CFO of €4.2B reflects large working capital release.</t>
        </is>
      </c>
    </row>
  </sheetData>
  <mergeCells count="3">
    <mergeCell ref="B3:H3"/>
    <mergeCell ref="B2:H2"/>
    <mergeCell ref="B27:H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B2:K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38" customWidth="1" style="107" min="2" max="2"/>
    <col width="12" customWidth="1" style="107" min="3" max="4"/>
    <col width="14" customWidth="1" style="107" min="5" max="5"/>
    <col width="12" customWidth="1" style="107" min="6" max="6"/>
    <col width="14" customWidth="1" style="107" min="7" max="7"/>
    <col width="12" customWidth="1" style="107" min="8" max="8"/>
    <col width="36" customWidth="1" style="107" min="9" max="9"/>
    <col hidden="1" width="11" customWidth="1" style="107" min="10" max="11"/>
    <col width="11" customWidth="1" style="107" min="12" max="14"/>
  </cols>
  <sheetData>
    <row r="2" ht="15" customHeight="1" s="108">
      <c r="B2" s="127" t="inlineStr">
        <is>
          <t>HEALTH CHECK — Ferrari N.V. (NYSE: RACE) | DCE Holdings</t>
        </is>
      </c>
    </row>
    <row r="3" ht="15" customHeight="1" s="108">
      <c r="B3" s="128" t="inlineStr">
        <is>
          <t>Sector: Consumer Discretionary / Apparel &amp; Luxury (Bloque A) | 3-band PASS / MONITOR / FAIL</t>
        </is>
      </c>
    </row>
    <row r="4" ht="15" customHeight="1" s="108">
      <c r="B4" s="129" t="inlineStr">
        <is>
          <t>METRIC</t>
        </is>
      </c>
      <c r="C4" s="129" t="inlineStr">
        <is>
          <t>Value</t>
        </is>
      </c>
      <c r="D4" s="129" t="inlineStr">
        <is>
          <t>Pass</t>
        </is>
      </c>
      <c r="E4" s="129" t="inlineStr">
        <is>
          <t>Monitor</t>
        </is>
      </c>
      <c r="F4" s="129" t="inlineStr">
        <is>
          <t>Fail</t>
        </is>
      </c>
      <c r="G4" s="129" t="inlineStr">
        <is>
          <t>Direction</t>
        </is>
      </c>
      <c r="H4" s="129" t="inlineStr">
        <is>
          <t>Status</t>
        </is>
      </c>
      <c r="I4" s="129" t="inlineStr">
        <is>
          <t>Note</t>
        </is>
      </c>
    </row>
    <row r="5" ht="15" customHeight="1" s="108">
      <c r="B5" s="128" t="inlineStr">
        <is>
          <t>SOLIDEZ FINANCIERA</t>
        </is>
      </c>
    </row>
    <row r="6" ht="15" customHeight="1" s="108">
      <c r="B6" s="132" t="inlineStr">
        <is>
          <t>Total Debt / Equity</t>
        </is>
      </c>
      <c r="C6" s="155">
        <f>'3. BS'!H44/'3. BS'!H38</f>
        <v/>
      </c>
      <c r="D6" s="156" t="inlineStr">
        <is>
          <t>&lt;0.5x</t>
        </is>
      </c>
      <c r="E6" s="156" t="inlineStr">
        <is>
          <t>0.5–1.0x</t>
        </is>
      </c>
      <c r="F6" s="156" t="inlineStr">
        <is>
          <t>&gt;1.0x</t>
        </is>
      </c>
      <c r="G6" s="156" t="inlineStr">
        <is>
          <t>lower_better</t>
        </is>
      </c>
      <c r="H6" s="157">
        <f>IF(C6&lt;=J6,"PASS",IF(C6&lt;=K6,"MONITOR","FAIL"))</f>
        <v/>
      </c>
      <c r="I6" s="158" t="inlineStr">
        <is>
          <t>Healthy capital structure</t>
        </is>
      </c>
      <c r="J6" s="117" t="n">
        <v>0.5</v>
      </c>
      <c r="K6" s="117" t="n">
        <v>1</v>
      </c>
    </row>
    <row r="7" ht="15" customHeight="1" s="108">
      <c r="B7" s="132" t="inlineStr">
        <is>
          <t>Net Debt / EBITDA</t>
        </is>
      </c>
      <c r="C7" s="155">
        <f>'3. BS'!H45/'2. IS'!H24</f>
        <v/>
      </c>
      <c r="D7" s="156" t="inlineStr">
        <is>
          <t>&lt;2x</t>
        </is>
      </c>
      <c r="E7" s="156" t="inlineStr">
        <is>
          <t>2–3x</t>
        </is>
      </c>
      <c r="F7" s="156" t="inlineStr">
        <is>
          <t>&gt;3x</t>
        </is>
      </c>
      <c r="G7" s="156" t="inlineStr">
        <is>
          <t>lower_better</t>
        </is>
      </c>
      <c r="H7" s="157">
        <f>IF(C7&lt;=J7,"PASS",IF(C7&lt;=K7,"MONITOR","FAIL"))</f>
        <v/>
      </c>
      <c r="I7" s="158" t="inlineStr">
        <is>
          <t>Leverage manageable</t>
        </is>
      </c>
      <c r="J7" s="117" t="n">
        <v>2</v>
      </c>
      <c r="K7" s="117" t="n">
        <v>3</v>
      </c>
    </row>
    <row r="8" ht="15" customHeight="1" s="108">
      <c r="B8" s="132" t="inlineStr">
        <is>
          <t>Current Ratio</t>
        </is>
      </c>
      <c r="C8" s="155">
        <f>'3. BS'!H11/'3. BS'!H27</f>
        <v/>
      </c>
      <c r="D8" s="156" t="inlineStr">
        <is>
          <t>&gt;1.5x</t>
        </is>
      </c>
      <c r="E8" s="156" t="inlineStr">
        <is>
          <t>1.0–1.5x</t>
        </is>
      </c>
      <c r="F8" s="156" t="inlineStr">
        <is>
          <t>&lt;1.0x</t>
        </is>
      </c>
      <c r="G8" s="156" t="inlineStr">
        <is>
          <t>higher_better</t>
        </is>
      </c>
      <c r="H8" s="157">
        <f>IF(C8&gt;=J8,"PASS",IF(C8&gt;=K8,"MONITOR","FAIL"))</f>
        <v/>
      </c>
      <c r="I8" s="158" t="inlineStr">
        <is>
          <t>Liquidez corto plazo</t>
        </is>
      </c>
      <c r="J8" s="117" t="n">
        <v>1.5</v>
      </c>
      <c r="K8" s="117" t="n">
        <v>1</v>
      </c>
    </row>
    <row r="9" ht="15" customHeight="1" s="108">
      <c r="B9" s="132" t="inlineStr">
        <is>
          <t>Interest Coverage (EBIT/Int)</t>
        </is>
      </c>
      <c r="C9" s="155">
        <f>'2. IS'!H16/'2. IS'!H17</f>
        <v/>
      </c>
      <c r="D9" s="156" t="inlineStr">
        <is>
          <t>&gt;5x</t>
        </is>
      </c>
      <c r="E9" s="156" t="inlineStr">
        <is>
          <t>2–5x</t>
        </is>
      </c>
      <c r="F9" s="156" t="inlineStr">
        <is>
          <t>&lt;2x</t>
        </is>
      </c>
      <c r="G9" s="156" t="inlineStr">
        <is>
          <t>higher_better</t>
        </is>
      </c>
      <c r="H9" s="157">
        <f>IF(C9&gt;=J9,"PASS",IF(C9&gt;=K9,"MONITOR","FAIL"))</f>
        <v/>
      </c>
      <c r="I9" s="158" t="inlineStr">
        <is>
          <t>Capacidad pago intereses</t>
        </is>
      </c>
      <c r="J9" s="117" t="n">
        <v>5</v>
      </c>
      <c r="K9" s="117" t="n">
        <v>2</v>
      </c>
    </row>
    <row r="11" ht="15" customHeight="1" s="108">
      <c r="B11" s="128" t="inlineStr">
        <is>
          <t>RENTABILIDAD</t>
        </is>
      </c>
    </row>
    <row r="12" ht="15" customHeight="1" s="108">
      <c r="B12" s="132" t="inlineStr">
        <is>
          <t>Operating Margin</t>
        </is>
      </c>
      <c r="C12" s="159">
        <f>'2. IS'!H16/'2. IS'!H5</f>
        <v/>
      </c>
      <c r="D12" s="156" t="inlineStr">
        <is>
          <t>&gt;15%</t>
        </is>
      </c>
      <c r="E12" s="156" t="inlineStr">
        <is>
          <t>10–15%</t>
        </is>
      </c>
      <c r="F12" s="156" t="inlineStr">
        <is>
          <t>&lt;10%</t>
        </is>
      </c>
      <c r="G12" s="156" t="inlineStr">
        <is>
          <t>higher_better</t>
        </is>
      </c>
      <c r="H12" s="157">
        <f>IF(C12&gt;=J12,"PASS",IF(C12&gt;=K12,"MONITOR","FAIL"))</f>
        <v/>
      </c>
      <c r="I12" s="158" t="inlineStr">
        <is>
          <t>Margen operativo reportado</t>
        </is>
      </c>
      <c r="J12" s="117" t="n">
        <v>0.15</v>
      </c>
      <c r="K12" s="117" t="n">
        <v>0.1</v>
      </c>
    </row>
    <row r="13" ht="15" customHeight="1" s="108">
      <c r="B13" s="132" t="inlineStr">
        <is>
          <t>FCF Margin</t>
        </is>
      </c>
      <c r="C13" s="159">
        <f>'4. CF'!H25/'2. IS'!H5</f>
        <v/>
      </c>
      <c r="D13" s="156" t="inlineStr">
        <is>
          <t>&gt;10%</t>
        </is>
      </c>
      <c r="E13" s="156" t="inlineStr">
        <is>
          <t>7–10%</t>
        </is>
      </c>
      <c r="F13" s="156" t="inlineStr">
        <is>
          <t>&lt;7%</t>
        </is>
      </c>
      <c r="G13" s="156" t="inlineStr">
        <is>
          <t>higher_better</t>
        </is>
      </c>
      <c r="H13" s="157">
        <f>IF(C13&gt;=J13,"PASS",IF(C13&gt;=K13,"MONITOR","FAIL"))</f>
        <v/>
      </c>
      <c r="I13" s="158" t="inlineStr">
        <is>
          <t>Conversión a FCF</t>
        </is>
      </c>
      <c r="J13" s="117" t="n">
        <v>0.1</v>
      </c>
      <c r="K13" s="117" t="n">
        <v>0.07000000000000001</v>
      </c>
    </row>
    <row r="14" ht="15" customHeight="1" s="108">
      <c r="B14" s="132" t="inlineStr">
        <is>
          <t>ROIC</t>
        </is>
      </c>
      <c r="C14" s="159">
        <f>IFERROR('11. ROIC'!H17,0)</f>
        <v/>
      </c>
      <c r="D14" s="156" t="inlineStr">
        <is>
          <t>&gt;15%</t>
        </is>
      </c>
      <c r="E14" s="156" t="inlineStr">
        <is>
          <t>10–15%</t>
        </is>
      </c>
      <c r="F14" s="156" t="inlineStr">
        <is>
          <t>&lt;10%</t>
        </is>
      </c>
      <c r="G14" s="156" t="inlineStr">
        <is>
          <t>higher_better</t>
        </is>
      </c>
      <c r="H14" s="157">
        <f>IF(ISTEXT('11. ROIC'!H17),"N/M",IF(C14&gt;=J14,"PASS",IF(C14&gt;=K14,"MONITOR","FAIL")))</f>
        <v/>
      </c>
      <c r="I14" s="158" t="inlineStr">
        <is>
          <t>Return on Invested Capital (Sec 1)</t>
        </is>
      </c>
      <c r="J14" s="117" t="n">
        <v>0.15</v>
      </c>
      <c r="K14" s="117" t="n">
        <v>0.1</v>
      </c>
    </row>
    <row r="15" ht="15" customHeight="1" s="108">
      <c r="B15" s="132" t="inlineStr">
        <is>
          <t>ROIC − WACC (spread)</t>
        </is>
      </c>
      <c r="C15" s="159">
        <f>IF(ISTEXT('11. ROIC'!H17),"N/M",'11. ROIC'!H17-'10. EPV'!C15)</f>
        <v/>
      </c>
      <c r="D15" s="156" t="inlineStr">
        <is>
          <t>&gt;5pp</t>
        </is>
      </c>
      <c r="E15" s="156" t="inlineStr">
        <is>
          <t>0–5pp</t>
        </is>
      </c>
      <c r="F15" s="156" t="inlineStr">
        <is>
          <t>&lt;0pp</t>
        </is>
      </c>
      <c r="G15" s="156" t="inlineStr">
        <is>
          <t>higher_better</t>
        </is>
      </c>
      <c r="H15" s="157">
        <f>IF(ISTEXT(C15),"N/M",IF(C15&gt;=J15,"PASS",IF(C15&gt;=K15,"MONITOR","FAIL")))</f>
        <v/>
      </c>
      <c r="I15" s="158" t="inlineStr">
        <is>
          <t>Creación de valor sobre WACC</t>
        </is>
      </c>
      <c r="J15" s="117" t="n">
        <v>0.05</v>
      </c>
      <c r="K15" s="117" t="n">
        <v>0</v>
      </c>
    </row>
    <row r="17" ht="15" customHeight="1" s="108">
      <c r="B17" s="128" t="inlineStr">
        <is>
          <t>CRECIMIENTO</t>
        </is>
      </c>
    </row>
    <row r="18" ht="15" customHeight="1" s="108">
      <c r="B18" s="132" t="inlineStr">
        <is>
          <t>Revenue CAGR 5yr</t>
        </is>
      </c>
      <c r="C18" s="159">
        <f>('2. IS'!H5/'2. IS'!C5)^(1/5)-1</f>
        <v/>
      </c>
      <c r="D18" s="156" t="inlineStr">
        <is>
          <t>&gt;10%</t>
        </is>
      </c>
      <c r="E18" s="156" t="inlineStr">
        <is>
          <t>5–10%</t>
        </is>
      </c>
      <c r="F18" s="156" t="inlineStr">
        <is>
          <t>&lt;5%</t>
        </is>
      </c>
      <c r="G18" s="156" t="inlineStr">
        <is>
          <t>higher_better</t>
        </is>
      </c>
      <c r="H18" s="157">
        <f>IF(C18&gt;=J18,"PASS",IF(C18&gt;=K18,"MONITOR","FAIL"))</f>
        <v/>
      </c>
      <c r="I18" s="158" t="inlineStr">
        <is>
          <t>FY2020 → FY2025</t>
        </is>
      </c>
      <c r="J18" s="117" t="n">
        <v>0.1</v>
      </c>
      <c r="K18" s="117" t="n">
        <v>0.05</v>
      </c>
    </row>
    <row r="19" ht="15" customHeight="1" s="108">
      <c r="B19" s="132" t="inlineStr">
        <is>
          <t>EBITDA Growth YoY</t>
        </is>
      </c>
      <c r="C19" s="159">
        <f>'2. IS'!H24/'2. IS'!G24-1</f>
        <v/>
      </c>
      <c r="D19" s="156" t="inlineStr">
        <is>
          <t>&gt;5%</t>
        </is>
      </c>
      <c r="E19" s="156" t="inlineStr">
        <is>
          <t>0–5%</t>
        </is>
      </c>
      <c r="F19" s="156" t="inlineStr">
        <is>
          <t>&lt;0%</t>
        </is>
      </c>
      <c r="G19" s="156" t="inlineStr">
        <is>
          <t>higher_better</t>
        </is>
      </c>
      <c r="H19" s="157">
        <f>IF(C19&gt;=J19,"PASS",IF(C19&gt;=K19,"MONITOR","FAIL"))</f>
        <v/>
      </c>
      <c r="I19" s="158" t="inlineStr">
        <is>
          <t>FY2024 → FY2025</t>
        </is>
      </c>
      <c r="J19" s="117" t="n">
        <v>0.05</v>
      </c>
      <c r="K19" s="117" t="n">
        <v>0</v>
      </c>
    </row>
    <row r="20" ht="15" customHeight="1" s="108">
      <c r="B20" s="132" t="inlineStr">
        <is>
          <t>FCF CAGR 3yr</t>
        </is>
      </c>
      <c r="C20" s="159">
        <f>('4. CF'!H25/'4. CF'!E25)^(1/3)-1</f>
        <v/>
      </c>
      <c r="D20" s="156" t="inlineStr">
        <is>
          <t>&gt;5%</t>
        </is>
      </c>
      <c r="E20" s="156" t="inlineStr">
        <is>
          <t>0–5%</t>
        </is>
      </c>
      <c r="F20" s="156" t="inlineStr">
        <is>
          <t>&lt;0%</t>
        </is>
      </c>
      <c r="G20" s="156" t="inlineStr">
        <is>
          <t>higher_better</t>
        </is>
      </c>
      <c r="H20" s="157">
        <f>IF(C20&gt;=J20,"PASS",IF(C20&gt;=K20,"MONITOR","FAIL"))</f>
        <v/>
      </c>
      <c r="I20" s="158" t="inlineStr">
        <is>
          <t>FY2022 → FY2025 (incl. €2.6Bn FY25 boost)</t>
        </is>
      </c>
      <c r="J20" s="117" t="n">
        <v>0.05</v>
      </c>
      <c r="K20" s="117" t="n">
        <v>0</v>
      </c>
    </row>
    <row r="22" ht="15" customHeight="1" s="108">
      <c r="B22" s="128" t="inlineStr">
        <is>
          <t>ESPECÍFICOS — APPAREL / LUXURY (Bloque A)</t>
        </is>
      </c>
    </row>
    <row r="23" ht="15" customHeight="1" s="108">
      <c r="B23" s="132" t="inlineStr">
        <is>
          <t>Gross Margin</t>
        </is>
      </c>
      <c r="C23" s="159">
        <f>('2. IS'!H5-'2. IS'!H6)/'2. IS'!H5</f>
        <v/>
      </c>
      <c r="D23" s="156" t="inlineStr">
        <is>
          <t>&gt;50%</t>
        </is>
      </c>
      <c r="E23" s="156" t="inlineStr">
        <is>
          <t>40–50%</t>
        </is>
      </c>
      <c r="F23" s="156" t="inlineStr">
        <is>
          <t>&lt;40%</t>
        </is>
      </c>
      <c r="G23" s="156" t="inlineStr">
        <is>
          <t>higher_better</t>
        </is>
      </c>
      <c r="H23" s="157">
        <f>IF(C23&gt;=J23,"PASS",IF(C23&gt;=K23,"MONITOR","FAIL"))</f>
        <v/>
      </c>
      <c r="I23" s="158" t="inlineStr">
        <is>
          <t>Premium pricing power</t>
        </is>
      </c>
      <c r="J23" s="117" t="n">
        <v>0.5</v>
      </c>
      <c r="K23" s="117" t="n">
        <v>0.4</v>
      </c>
    </row>
    <row r="24" ht="15" customHeight="1" s="108">
      <c r="B24" s="132" t="inlineStr">
        <is>
          <t>Inventory Days</t>
        </is>
      </c>
      <c r="C24" s="160">
        <f>'3. BS'!H9/'2. IS'!H6*365</f>
        <v/>
      </c>
      <c r="D24" s="156" t="inlineStr">
        <is>
          <t>&lt;120</t>
        </is>
      </c>
      <c r="E24" s="156" t="inlineStr">
        <is>
          <t>120–180</t>
        </is>
      </c>
      <c r="F24" s="156" t="inlineStr">
        <is>
          <t>&gt;180</t>
        </is>
      </c>
      <c r="G24" s="156" t="inlineStr">
        <is>
          <t>lower_better</t>
        </is>
      </c>
      <c r="H24" s="157">
        <f>IF(C24&lt;=J24,"PASS",IF(C24&lt;=K24,"MONITOR","FAIL"))</f>
        <v/>
      </c>
      <c r="I24" s="158" t="inlineStr">
        <is>
          <t>Production/inventory discipline</t>
        </is>
      </c>
      <c r="J24" s="117" t="n">
        <v>120</v>
      </c>
      <c r="K24" s="117" t="n">
        <v>180</v>
      </c>
    </row>
    <row r="25" ht="15" customHeight="1" s="108">
      <c r="B25" s="132" t="inlineStr">
        <is>
          <t>CapEx % Revenue</t>
        </is>
      </c>
      <c r="C25" s="159">
        <f>-'4. CF'!H13/'2. IS'!H5</f>
        <v/>
      </c>
      <c r="D25" s="156" t="inlineStr">
        <is>
          <t>&lt;8%</t>
        </is>
      </c>
      <c r="E25" s="156" t="inlineStr">
        <is>
          <t>8–12%</t>
        </is>
      </c>
      <c r="F25" s="156" t="inlineStr">
        <is>
          <t>&gt;12%</t>
        </is>
      </c>
      <c r="G25" s="156" t="inlineStr">
        <is>
          <t>lower_better</t>
        </is>
      </c>
      <c r="H25" s="157">
        <f>IF(C25&lt;=J25,"PASS",IF(C25&lt;=K25,"MONITOR","FAIL"))</f>
        <v/>
      </c>
      <c r="I25" s="158" t="inlineStr">
        <is>
          <t>FY25 elevated (e-building)</t>
        </is>
      </c>
      <c r="J25" s="117" t="n">
        <v>0.08</v>
      </c>
      <c r="K25" s="117" t="n">
        <v>0.12</v>
      </c>
    </row>
    <row r="26" ht="15" customHeight="1" s="108">
      <c r="B26" s="132" t="inlineStr">
        <is>
          <t>SBC % Revenue</t>
        </is>
      </c>
      <c r="C26" s="159">
        <f>'2. IS'!H32/'2. IS'!H5</f>
        <v/>
      </c>
      <c r="D26" s="156" t="inlineStr">
        <is>
          <t>&lt;2%</t>
        </is>
      </c>
      <c r="E26" s="156" t="inlineStr">
        <is>
          <t>2–4%</t>
        </is>
      </c>
      <c r="F26" s="156" t="inlineStr">
        <is>
          <t>&gt;4%</t>
        </is>
      </c>
      <c r="G26" s="156" t="inlineStr">
        <is>
          <t>lower_better</t>
        </is>
      </c>
      <c r="H26" s="157">
        <f>IF(C26&lt;=J26,"PASS",IF(C26&lt;=K26,"MONITOR","FAIL"))</f>
        <v/>
      </c>
      <c r="I26" s="158" t="inlineStr">
        <is>
          <t>SBC ya en OpEx (DP#5)</t>
        </is>
      </c>
      <c r="J26" s="117" t="n">
        <v>0.02</v>
      </c>
      <c r="K26" s="117" t="n">
        <v>0.04</v>
      </c>
    </row>
    <row r="28" ht="15" customHeight="1" s="108">
      <c r="B28" s="161" t="inlineStr">
        <is>
          <t>Total PASS / MONITOR / FAIL</t>
        </is>
      </c>
      <c r="C28" s="162">
        <f>COUNTIF(H6:H26,"PASS")</f>
        <v/>
      </c>
      <c r="D28" s="162">
        <f>COUNTIF(H6:H26,"MONITOR")</f>
        <v/>
      </c>
      <c r="E28" s="162">
        <f>COUNTIF(H6:H26,"FAIL")</f>
        <v/>
      </c>
      <c r="F28" s="163" t="n"/>
      <c r="G28" s="163" t="n"/>
      <c r="H28" s="163" t="n"/>
      <c r="I28" s="163" t="n"/>
    </row>
    <row r="30" ht="15" customHeight="1" s="108">
      <c r="B30" s="146" t="inlineStr">
        <is>
          <t>Source: Ferrari 20-F + DCE Health Framework v4.2 (Bloque A Apparel/Luxury) | DCE Holdings | 22-May-2026</t>
        </is>
      </c>
    </row>
  </sheetData>
  <mergeCells count="7">
    <mergeCell ref="B30:I30"/>
    <mergeCell ref="B11:I11"/>
    <mergeCell ref="B2:I2"/>
    <mergeCell ref="B3:I3"/>
    <mergeCell ref="B5:I5"/>
    <mergeCell ref="B22:I22"/>
    <mergeCell ref="B17:I17"/>
  </mergeCells>
  <conditionalFormatting sqref="H6:H26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"MONITOR"</formula>
    </cfRule>
    <cfRule type="cellIs" rank="0" priority="4" equalAverage="0" operator="equal" aboveAverage="0" dxfId="2" text="" percent="0" bottom="0">
      <formula>"FAIL"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375623"/>
    <outlinePr summaryBelow="1" summaryRight="1"/>
    <pageSetUpPr fitToPage="0"/>
  </sheetPr>
  <dimension ref="B2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38" customWidth="1" style="107" min="2" max="2"/>
    <col width="14" customWidth="1" style="107" min="3" max="8"/>
  </cols>
  <sheetData>
    <row r="2" ht="15" customHeight="1" s="108">
      <c r="B2" s="127" t="inlineStr">
        <is>
          <t>CAPITALIZACIÓN DE MARKETING (proxy S&amp;M) — Ferrari N.V. | Vida Útil: 7 Años</t>
        </is>
      </c>
    </row>
    <row r="3" ht="15" customHeight="1" s="108">
      <c r="B3" s="128" t="inlineStr">
        <is>
          <t>Source: Ferrari 20-F SG&amp;A line | 70% of SG&amp;A as proxy for brand/F1 marketing | EUR Millions</t>
        </is>
      </c>
    </row>
    <row r="5" ht="15" customHeight="1" s="108">
      <c r="B5" s="113" t="inlineStr">
        <is>
          <t>PARÁMETROS</t>
        </is>
      </c>
      <c r="C5" s="147" t="n"/>
      <c r="D5" s="147" t="n"/>
      <c r="E5" s="147" t="n"/>
      <c r="F5" s="147" t="n"/>
      <c r="G5" s="147" t="n"/>
    </row>
    <row r="6" ht="15" customHeight="1" s="108">
      <c r="B6" s="114" t="inlineStr">
        <is>
          <t>Vida Útil (años)</t>
        </is>
      </c>
      <c r="C6" s="164" t="n">
        <v>7</v>
      </c>
    </row>
    <row r="7" ht="15" customHeight="1" s="108">
      <c r="B7" s="114" t="inlineStr">
        <is>
          <t>Proxy S&amp;M</t>
        </is>
      </c>
      <c r="C7" s="115" t="inlineStr">
        <is>
          <t>70% of SG&amp;A (Ferrari does not break out marketing separately; luxury/F1 brand build)</t>
        </is>
      </c>
    </row>
    <row r="8" ht="15" customHeight="1" s="108">
      <c r="B8" s="114" t="inlineStr">
        <is>
          <t>Nota SBC</t>
        </is>
      </c>
      <c r="C8" s="115" t="inlineStr">
        <is>
          <t>SBC ~€6M in 2025; already inside Personnel/SG&amp;A; no separate add-back</t>
        </is>
      </c>
    </row>
    <row r="9" ht="15" customHeight="1" s="108">
      <c r="B9" s="158" t="inlineStr">
        <is>
          <t>Historical estimate FY2019, FY2020, FY2018 (for lookback)</t>
        </is>
      </c>
      <c r="C9" s="158" t="inlineStr">
        <is>
          <t>FY2018 €326M, FY2019 €350M (estimated for prior cohorts within 7y window)</t>
        </is>
      </c>
    </row>
    <row r="11" ht="15" customHeight="1" s="108">
      <c r="B11" s="113" t="inlineStr">
        <is>
          <t>GASTO EN MARKETING POR AÑO — INPUTS</t>
        </is>
      </c>
      <c r="C11" s="147" t="n"/>
      <c r="D11" s="147" t="n"/>
      <c r="E11" s="147" t="n"/>
      <c r="F11" s="147" t="n"/>
      <c r="G11" s="147" t="n"/>
    </row>
    <row r="12" ht="15" customHeight="1" s="108">
      <c r="B12" s="129" t="inlineStr">
        <is>
          <t>CONCEPTO (€M)</t>
        </is>
      </c>
      <c r="C12" s="129" t="inlineStr">
        <is>
          <t>FY 2021</t>
        </is>
      </c>
      <c r="D12" s="129" t="inlineStr">
        <is>
          <t>FY 2022</t>
        </is>
      </c>
      <c r="E12" s="129" t="inlineStr">
        <is>
          <t>FY 2023</t>
        </is>
      </c>
      <c r="F12" s="129" t="inlineStr">
        <is>
          <t>FY 2024</t>
        </is>
      </c>
      <c r="G12" s="129" t="inlineStr">
        <is>
          <t>FY 2025</t>
        </is>
      </c>
    </row>
    <row r="13" ht="15" customHeight="1" s="108">
      <c r="B13" s="130" t="inlineStr">
        <is>
          <t>Marketing Expense (=70% × SG&amp;A)</t>
        </is>
      </c>
      <c r="C13" s="134">
        <f>0.7*'2. IS'!D10</f>
        <v/>
      </c>
      <c r="D13" s="134">
        <f>0.7*'2. IS'!E10</f>
        <v/>
      </c>
      <c r="E13" s="134">
        <f>0.7*'2. IS'!F10</f>
        <v/>
      </c>
      <c r="F13" s="134">
        <f>0.7*'2. IS'!G10</f>
        <v/>
      </c>
      <c r="G13" s="134">
        <f>0.7*'2. IS'!H10</f>
        <v/>
      </c>
    </row>
    <row r="14" ht="15" customHeight="1" s="108">
      <c r="B14" s="146" t="inlineStr">
        <is>
          <t>Source: Ferrari 20-F SG&amp;A FY2021-2025; 70% of SG&amp;A approximates brand + F1 + dealer marketing</t>
        </is>
      </c>
    </row>
    <row r="16" ht="15" customHeight="1" s="108">
      <c r="B16" s="113" t="inlineStr">
        <is>
          <t>MATRIZ DE AMORTIZACIÓN POR COHORTE</t>
        </is>
      </c>
      <c r="C16" s="147" t="n"/>
      <c r="D16" s="147" t="n"/>
      <c r="E16" s="147" t="n"/>
      <c r="F16" s="147" t="n"/>
      <c r="G16" s="147" t="n"/>
    </row>
    <row r="17" ht="15" customHeight="1" s="108">
      <c r="B17" s="129" t="inlineStr">
        <is>
          <t>Cohorte \ Año Modelo</t>
        </is>
      </c>
      <c r="C17" s="129" t="inlineStr">
        <is>
          <t>FY 2021</t>
        </is>
      </c>
      <c r="D17" s="129" t="inlineStr">
        <is>
          <t>FY 2022</t>
        </is>
      </c>
      <c r="E17" s="129" t="inlineStr">
        <is>
          <t>FY 2023</t>
        </is>
      </c>
      <c r="F17" s="129" t="inlineStr">
        <is>
          <t>FY 2024</t>
        </is>
      </c>
      <c r="G17" s="129" t="inlineStr">
        <is>
          <t>FY 2025</t>
        </is>
      </c>
    </row>
    <row r="18" ht="15" customHeight="1" s="108">
      <c r="B18" s="114" t="inlineStr">
        <is>
          <t>FY 2021</t>
        </is>
      </c>
      <c r="C18" s="150">
        <f>C13/$C$6</f>
        <v/>
      </c>
      <c r="D18" s="150">
        <f>C13/$C$6</f>
        <v/>
      </c>
      <c r="E18" s="150">
        <f>C13/$C$6</f>
        <v/>
      </c>
      <c r="F18" s="150">
        <f>C13/$C$6</f>
        <v/>
      </c>
      <c r="G18" s="150">
        <f>C13/$C$6</f>
        <v/>
      </c>
    </row>
    <row r="19" ht="15" customHeight="1" s="108">
      <c r="B19" s="114" t="inlineStr">
        <is>
          <t>FY 2022</t>
        </is>
      </c>
      <c r="C19" s="165" t="inlineStr">
        <is>
          <t>-</t>
        </is>
      </c>
      <c r="D19" s="150">
        <f>D13/$C$6</f>
        <v/>
      </c>
      <c r="E19" s="150">
        <f>D13/$C$6</f>
        <v/>
      </c>
      <c r="F19" s="150">
        <f>D13/$C$6</f>
        <v/>
      </c>
      <c r="G19" s="150">
        <f>D13/$C$6</f>
        <v/>
      </c>
    </row>
    <row r="20" ht="15" customHeight="1" s="108">
      <c r="B20" s="114" t="inlineStr">
        <is>
          <t>FY 2023</t>
        </is>
      </c>
      <c r="C20" s="165" t="inlineStr">
        <is>
          <t>-</t>
        </is>
      </c>
      <c r="D20" s="165" t="inlineStr">
        <is>
          <t>-</t>
        </is>
      </c>
      <c r="E20" s="150">
        <f>E13/$C$6</f>
        <v/>
      </c>
      <c r="F20" s="150">
        <f>E13/$C$6</f>
        <v/>
      </c>
      <c r="G20" s="150">
        <f>E13/$C$6</f>
        <v/>
      </c>
    </row>
    <row r="21" ht="15" customHeight="1" s="108">
      <c r="B21" s="114" t="inlineStr">
        <is>
          <t>FY 2024</t>
        </is>
      </c>
      <c r="C21" s="165" t="inlineStr">
        <is>
          <t>-</t>
        </is>
      </c>
      <c r="D21" s="165" t="inlineStr">
        <is>
          <t>-</t>
        </is>
      </c>
      <c r="E21" s="165" t="inlineStr">
        <is>
          <t>-</t>
        </is>
      </c>
      <c r="F21" s="150">
        <f>F13/$C$6</f>
        <v/>
      </c>
      <c r="G21" s="150">
        <f>F13/$C$6</f>
        <v/>
      </c>
    </row>
    <row r="22" ht="15" customHeight="1" s="108">
      <c r="B22" s="114" t="inlineStr">
        <is>
          <t>FY 2025</t>
        </is>
      </c>
      <c r="C22" s="165" t="inlineStr">
        <is>
          <t>-</t>
        </is>
      </c>
      <c r="D22" s="165" t="inlineStr">
        <is>
          <t>-</t>
        </is>
      </c>
      <c r="E22" s="165" t="inlineStr">
        <is>
          <t>-</t>
        </is>
      </c>
      <c r="F22" s="165" t="inlineStr">
        <is>
          <t>-</t>
        </is>
      </c>
      <c r="G22" s="150">
        <f>G13/$C$6</f>
        <v/>
      </c>
      <c r="H22" s="129" t="inlineStr">
        <is>
          <t>Hist Mktg (€M)</t>
        </is>
      </c>
    </row>
    <row r="23" ht="15" customHeight="1" s="108">
      <c r="B23" s="158" t="inlineStr">
        <is>
          <t>FY 2019 (est.)</t>
        </is>
      </c>
      <c r="C23" s="150">
        <f>$H$23/$C$6</f>
        <v/>
      </c>
      <c r="D23" s="150">
        <f>$H$23/$C$6</f>
        <v/>
      </c>
      <c r="E23" s="150">
        <f>$H$23/$C$6</f>
        <v/>
      </c>
      <c r="F23" s="150">
        <f>$H$23/$C$6</f>
        <v/>
      </c>
      <c r="G23" s="150">
        <f>$H$23/$C$6</f>
        <v/>
      </c>
      <c r="H23" s="133" t="n">
        <v>350</v>
      </c>
    </row>
    <row r="24" ht="15" customHeight="1" s="108">
      <c r="B24" s="158" t="inlineStr">
        <is>
          <t>FY 2020 (est.)</t>
        </is>
      </c>
      <c r="C24" s="150">
        <f>$H$24/$C$6</f>
        <v/>
      </c>
      <c r="D24" s="150">
        <f>$H$24/$C$6</f>
        <v/>
      </c>
      <c r="E24" s="150">
        <f>$H$24/$C$6</f>
        <v/>
      </c>
      <c r="F24" s="150">
        <f>$H$24/$C$6</f>
        <v/>
      </c>
      <c r="G24" s="150">
        <f>$H$24/$C$6</f>
        <v/>
      </c>
      <c r="H24" s="133" t="n">
        <v>235</v>
      </c>
    </row>
    <row r="26" ht="15" customHeight="1" s="108">
      <c r="B26" s="166" t="inlineStr">
        <is>
          <t>Economic Amortization (Total)</t>
        </is>
      </c>
      <c r="C26" s="138">
        <f>SUM(C18:C24)</f>
        <v/>
      </c>
      <c r="D26" s="138">
        <f>SUM(D18:D24)</f>
        <v/>
      </c>
      <c r="E26" s="138">
        <f>SUM(E18:E24)</f>
        <v/>
      </c>
      <c r="F26" s="138">
        <f>SUM(F18:F24)</f>
        <v/>
      </c>
      <c r="G26" s="138">
        <f>SUM(G18:G24)</f>
        <v/>
      </c>
    </row>
    <row r="28" ht="15" customHeight="1" s="108">
      <c r="B28" s="113" t="inlineStr">
        <is>
          <t>RESUMEN S&amp;M CAPITALIZACIÓN</t>
        </is>
      </c>
      <c r="C28" s="147" t="n"/>
      <c r="D28" s="147" t="n"/>
      <c r="E28" s="147" t="n"/>
      <c r="F28" s="147" t="n"/>
      <c r="G28" s="147" t="n"/>
    </row>
    <row r="29" ht="15" customHeight="1" s="108">
      <c r="B29" s="129" t="inlineStr">
        <is>
          <t>CONCEPTO</t>
        </is>
      </c>
      <c r="C29" s="129" t="inlineStr">
        <is>
          <t>FY 2021</t>
        </is>
      </c>
      <c r="D29" s="129" t="inlineStr">
        <is>
          <t>FY 2022</t>
        </is>
      </c>
      <c r="E29" s="129" t="inlineStr">
        <is>
          <t>FY 2023</t>
        </is>
      </c>
      <c r="F29" s="129" t="inlineStr">
        <is>
          <t>FY 2024</t>
        </is>
      </c>
      <c r="G29" s="129" t="inlineStr">
        <is>
          <t>FY 2025</t>
        </is>
      </c>
    </row>
    <row r="30" ht="15" customHeight="1" s="108">
      <c r="B30" s="119" t="inlineStr">
        <is>
          <t>Gasto Marketing</t>
        </is>
      </c>
      <c r="C30" s="139">
        <f>C13</f>
        <v/>
      </c>
      <c r="D30" s="139">
        <f>D13</f>
        <v/>
      </c>
      <c r="E30" s="139">
        <f>E13</f>
        <v/>
      </c>
      <c r="F30" s="139">
        <f>F13</f>
        <v/>
      </c>
      <c r="G30" s="139">
        <f>G13</f>
        <v/>
      </c>
    </row>
    <row r="31" ht="15" customHeight="1" s="108">
      <c r="B31" s="114" t="inlineStr">
        <is>
          <t>Economic Amortization</t>
        </is>
      </c>
      <c r="C31" s="150">
        <f>C26</f>
        <v/>
      </c>
      <c r="D31" s="150">
        <f>D26</f>
        <v/>
      </c>
      <c r="E31" s="150">
        <f>E26</f>
        <v/>
      </c>
      <c r="F31" s="150">
        <f>F26</f>
        <v/>
      </c>
      <c r="G31" s="150">
        <f>G26</f>
        <v/>
      </c>
    </row>
    <row r="32" ht="15" customHeight="1" s="108">
      <c r="B32" s="119" t="inlineStr">
        <is>
          <t>S&amp;M Growth Expense</t>
        </is>
      </c>
      <c r="C32" s="139">
        <f>C30-C31</f>
        <v/>
      </c>
      <c r="D32" s="139">
        <f>D30-D31</f>
        <v/>
      </c>
      <c r="E32" s="139">
        <f>E30-E31</f>
        <v/>
      </c>
      <c r="F32" s="139">
        <f>F30-F31</f>
        <v/>
      </c>
      <c r="G32" s="139">
        <f>G30-G31</f>
        <v/>
      </c>
    </row>
    <row r="33" ht="15" customHeight="1" s="108">
      <c r="B33" s="137" t="inlineStr">
        <is>
          <t>S&amp;M Asset (Unamortized Balance)</t>
        </is>
      </c>
      <c r="C33" s="138">
        <f>(5/$C$6)*$H$23+(6/$C$6)*$H$24+(7/$C$6)*$C$13</f>
        <v/>
      </c>
      <c r="D33" s="138">
        <f>(4/$C$6)*$H$23+(5/$C$6)*$H$24+(6/$C$6)*$C$13+(7/$C$6)*$D$13</f>
        <v/>
      </c>
      <c r="E33" s="138">
        <f>(3/$C$6)*$H$23+(4/$C$6)*$H$24+(5/$C$6)*$C$13+(6/$C$6)*$D$13+(7/$C$6)*$E$13</f>
        <v/>
      </c>
      <c r="F33" s="138">
        <f>(2/$C$6)*$H$23+(3/$C$6)*$H$24+(4/$C$6)*$C$13+(5/$C$6)*$D$13+(6/$C$6)*$E$13+(7/$C$6)*$F$13</f>
        <v/>
      </c>
      <c r="G33" s="138">
        <f>(1/$C$6)*$H$23+(2/$C$6)*$H$24+(3/$C$6)*$C$13+(4/$C$6)*$D$13+(5/$C$6)*$E$13+(6/$C$6)*$F$13+(7/$C$6)*$G$13</f>
        <v/>
      </c>
    </row>
    <row r="34" ht="15" customHeight="1" s="108">
      <c r="B34" s="114" t="inlineStr">
        <is>
          <t>Growth Expense % of Marketing</t>
        </is>
      </c>
      <c r="C34" s="141">
        <f>C32/C30</f>
        <v/>
      </c>
      <c r="D34" s="141">
        <f>D32/D30</f>
        <v/>
      </c>
      <c r="E34" s="141">
        <f>E32/E30</f>
        <v/>
      </c>
      <c r="F34" s="141">
        <f>F32/F30</f>
        <v/>
      </c>
      <c r="G34" s="141">
        <f>G32/G30</f>
        <v/>
      </c>
    </row>
    <row r="36" ht="15" customHeight="1" s="108">
      <c r="B36" s="167" t="inlineStr">
        <is>
          <t>Source: Ferrari 20-F SG&amp;A FY2021-2025 (70% proxy). Historical cohorts FY2019-2020 estimated. DCE Holdings.</t>
        </is>
      </c>
    </row>
  </sheetData>
  <mergeCells count="7">
    <mergeCell ref="B3:G3"/>
    <mergeCell ref="B2:G2"/>
    <mergeCell ref="B36:H36"/>
    <mergeCell ref="C7:G7"/>
    <mergeCell ref="B14:G14"/>
    <mergeCell ref="C8:G8"/>
    <mergeCell ref="C9:G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375623"/>
    <outlinePr summaryBelow="1" summaryRight="1"/>
    <pageSetUpPr fitToPage="0"/>
  </sheetPr>
  <dimension ref="B2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38" customWidth="1" style="107" min="2" max="2"/>
    <col width="14" customWidth="1" style="107" min="3" max="8"/>
  </cols>
  <sheetData>
    <row r="2" ht="15" customHeight="1" s="108">
      <c r="B2" s="127" t="inlineStr">
        <is>
          <t>CAPITALIZACIÓN DE R&amp;D — Ferrari N.V. | Vida Útil: 5 Años</t>
        </is>
      </c>
    </row>
    <row r="3" ht="15" customHeight="1" s="108">
      <c r="B3" s="128" t="inlineStr">
        <is>
          <t>Source: Ferrari 20-F R&amp;D line | Engine + Hybrid + EV tech | EUR Millions</t>
        </is>
      </c>
    </row>
    <row r="5" ht="15" customHeight="1" s="108">
      <c r="B5" s="113" t="inlineStr">
        <is>
          <t>PARÁMETROS</t>
        </is>
      </c>
      <c r="C5" s="147" t="n"/>
      <c r="D5" s="147" t="n"/>
      <c r="E5" s="147" t="n"/>
      <c r="F5" s="147" t="n"/>
      <c r="G5" s="147" t="n"/>
    </row>
    <row r="6" ht="15" customHeight="1" s="108">
      <c r="B6" s="114" t="inlineStr">
        <is>
          <t>Vida Útil (años)</t>
        </is>
      </c>
      <c r="C6" s="164" t="n">
        <v>5</v>
      </c>
    </row>
    <row r="7" ht="15" customHeight="1" s="108">
      <c r="B7" s="114" t="inlineStr">
        <is>
          <t>Proxy R&amp;D</t>
        </is>
      </c>
      <c r="C7" s="115" t="inlineStr">
        <is>
          <t>Reported R&amp;D expense (Ferrari discloses R&amp;D as separate line in 20-F)</t>
        </is>
      </c>
    </row>
    <row r="8" ht="15" customHeight="1" s="108">
      <c r="B8" s="114" t="inlineStr">
        <is>
          <t>Nota</t>
        </is>
      </c>
      <c r="C8" s="115" t="inlineStr">
        <is>
          <t>R&amp;D includes engine/hybrid/EV tech and racing-related innovation. 5y reflects tech cycles + EV reset.</t>
        </is>
      </c>
    </row>
    <row r="11" ht="15" customHeight="1" s="108">
      <c r="B11" s="113" t="inlineStr">
        <is>
          <t>GASTO EN R&amp;D POR AÑO — INPUTS</t>
        </is>
      </c>
      <c r="C11" s="147" t="n"/>
      <c r="D11" s="147" t="n"/>
      <c r="E11" s="147" t="n"/>
      <c r="F11" s="147" t="n"/>
      <c r="G11" s="147" t="n"/>
    </row>
    <row r="12" ht="15" customHeight="1" s="108">
      <c r="B12" s="129" t="inlineStr">
        <is>
          <t>CONCEPTO (€M)</t>
        </is>
      </c>
      <c r="C12" s="129" t="inlineStr">
        <is>
          <t>FY 2021</t>
        </is>
      </c>
      <c r="D12" s="129" t="inlineStr">
        <is>
          <t>FY 2022</t>
        </is>
      </c>
      <c r="E12" s="129" t="inlineStr">
        <is>
          <t>FY 2023</t>
        </is>
      </c>
      <c r="F12" s="129" t="inlineStr">
        <is>
          <t>FY 2024</t>
        </is>
      </c>
      <c r="G12" s="129" t="inlineStr">
        <is>
          <t>FY 2025</t>
        </is>
      </c>
    </row>
    <row r="13" ht="15" customHeight="1" s="108">
      <c r="B13" s="130" t="inlineStr">
        <is>
          <t>R&amp;D Expense</t>
        </is>
      </c>
      <c r="C13" s="134">
        <f>'2. IS'!D11</f>
        <v/>
      </c>
      <c r="D13" s="134">
        <f>'2. IS'!E11</f>
        <v/>
      </c>
      <c r="E13" s="134">
        <f>'2. IS'!F11</f>
        <v/>
      </c>
      <c r="F13" s="134">
        <f>'2. IS'!G11</f>
        <v/>
      </c>
      <c r="G13" s="134">
        <f>'2. IS'!H11</f>
        <v/>
      </c>
    </row>
    <row r="16" ht="15" customHeight="1" s="108">
      <c r="B16" s="113" t="inlineStr">
        <is>
          <t>MATRIZ DE AMORTIZACIÓN POR COHORTE</t>
        </is>
      </c>
      <c r="C16" s="147" t="n"/>
      <c r="D16" s="147" t="n"/>
      <c r="E16" s="147" t="n"/>
      <c r="F16" s="147" t="n"/>
      <c r="G16" s="147" t="n"/>
    </row>
    <row r="17" ht="15" customHeight="1" s="108">
      <c r="B17" s="129" t="inlineStr">
        <is>
          <t>Cohorte \ Año Modelo</t>
        </is>
      </c>
      <c r="C17" s="129" t="inlineStr">
        <is>
          <t>FY 2021</t>
        </is>
      </c>
      <c r="D17" s="129" t="inlineStr">
        <is>
          <t>FY 2022</t>
        </is>
      </c>
      <c r="E17" s="129" t="inlineStr">
        <is>
          <t>FY 2023</t>
        </is>
      </c>
      <c r="F17" s="129" t="inlineStr">
        <is>
          <t>FY 2024</t>
        </is>
      </c>
      <c r="G17" s="129" t="inlineStr">
        <is>
          <t>FY 2025</t>
        </is>
      </c>
    </row>
    <row r="18" ht="15" customHeight="1" s="108">
      <c r="B18" s="114" t="inlineStr">
        <is>
          <t>FY 2021</t>
        </is>
      </c>
      <c r="C18" s="150">
        <f>C13/$C$6</f>
        <v/>
      </c>
      <c r="D18" s="150">
        <f>C13/$C$6</f>
        <v/>
      </c>
      <c r="E18" s="150">
        <f>C13/$C$6</f>
        <v/>
      </c>
      <c r="F18" s="150">
        <f>C13/$C$6</f>
        <v/>
      </c>
      <c r="G18" s="150">
        <f>C13/$C$6</f>
        <v/>
      </c>
    </row>
    <row r="19" ht="15" customHeight="1" s="108">
      <c r="B19" s="114" t="inlineStr">
        <is>
          <t>FY 2022</t>
        </is>
      </c>
      <c r="C19" s="165" t="inlineStr">
        <is>
          <t>-</t>
        </is>
      </c>
      <c r="D19" s="150">
        <f>D13/$C$6</f>
        <v/>
      </c>
      <c r="E19" s="150">
        <f>D13/$C$6</f>
        <v/>
      </c>
      <c r="F19" s="150">
        <f>D13/$C$6</f>
        <v/>
      </c>
      <c r="G19" s="150">
        <f>D13/$C$6</f>
        <v/>
      </c>
    </row>
    <row r="20" ht="15" customHeight="1" s="108">
      <c r="B20" s="114" t="inlineStr">
        <is>
          <t>FY 2023</t>
        </is>
      </c>
      <c r="C20" s="165" t="inlineStr">
        <is>
          <t>-</t>
        </is>
      </c>
      <c r="D20" s="165" t="inlineStr">
        <is>
          <t>-</t>
        </is>
      </c>
      <c r="E20" s="150">
        <f>E13/$C$6</f>
        <v/>
      </c>
      <c r="F20" s="150">
        <f>E13/$C$6</f>
        <v/>
      </c>
      <c r="G20" s="150">
        <f>E13/$C$6</f>
        <v/>
      </c>
    </row>
    <row r="21" ht="15" customHeight="1" s="108">
      <c r="B21" s="114" t="inlineStr">
        <is>
          <t>FY 2024</t>
        </is>
      </c>
      <c r="C21" s="165" t="inlineStr">
        <is>
          <t>-</t>
        </is>
      </c>
      <c r="D21" s="165" t="inlineStr">
        <is>
          <t>-</t>
        </is>
      </c>
      <c r="E21" s="165" t="inlineStr">
        <is>
          <t>-</t>
        </is>
      </c>
      <c r="F21" s="150">
        <f>F13/$C$6</f>
        <v/>
      </c>
      <c r="G21" s="150">
        <f>F13/$C$6</f>
        <v/>
      </c>
    </row>
    <row r="22" ht="15" customHeight="1" s="108">
      <c r="B22" s="114" t="inlineStr">
        <is>
          <t>FY 2025</t>
        </is>
      </c>
      <c r="C22" s="165" t="inlineStr">
        <is>
          <t>-</t>
        </is>
      </c>
      <c r="D22" s="165" t="inlineStr">
        <is>
          <t>-</t>
        </is>
      </c>
      <c r="E22" s="165" t="inlineStr">
        <is>
          <t>-</t>
        </is>
      </c>
      <c r="F22" s="165" t="inlineStr">
        <is>
          <t>-</t>
        </is>
      </c>
      <c r="G22" s="150">
        <f>G13/$C$6</f>
        <v/>
      </c>
      <c r="H22" s="129" t="inlineStr">
        <is>
          <t>Hist R&amp;D (€M)</t>
        </is>
      </c>
    </row>
    <row r="23" ht="15" customHeight="1" s="108">
      <c r="B23" s="158" t="inlineStr">
        <is>
          <t>FY 2019 (est.)</t>
        </is>
      </c>
      <c r="C23" s="150">
        <f>$H$23/$C$6</f>
        <v/>
      </c>
      <c r="D23" s="150">
        <f>$H$23/$C$6</f>
        <v/>
      </c>
      <c r="E23" s="150">
        <f>$H$23/$C$6</f>
        <v/>
      </c>
      <c r="F23" s="165" t="inlineStr">
        <is>
          <t>-</t>
        </is>
      </c>
      <c r="G23" s="165" t="inlineStr">
        <is>
          <t>-</t>
        </is>
      </c>
      <c r="H23" s="133" t="n">
        <v>700</v>
      </c>
    </row>
    <row r="24" ht="15" customHeight="1" s="108">
      <c r="B24" s="158" t="inlineStr">
        <is>
          <t>FY 2020 (est.)</t>
        </is>
      </c>
      <c r="C24" s="150">
        <f>$H$24/$C$6</f>
        <v/>
      </c>
      <c r="D24" s="150">
        <f>$H$24/$C$6</f>
        <v/>
      </c>
      <c r="E24" s="150">
        <f>$H$24/$C$6</f>
        <v/>
      </c>
      <c r="F24" s="150">
        <f>$H$24/$C$6</f>
        <v/>
      </c>
      <c r="G24" s="165" t="inlineStr">
        <is>
          <t>-</t>
        </is>
      </c>
      <c r="H24" s="133" t="n">
        <v>707</v>
      </c>
    </row>
    <row r="26" ht="15" customHeight="1" s="108">
      <c r="B26" s="166" t="inlineStr">
        <is>
          <t>Economic Amortization (Total)</t>
        </is>
      </c>
      <c r="C26" s="138">
        <f>SUM(C18:C24)</f>
        <v/>
      </c>
      <c r="D26" s="138">
        <f>SUM(D18:D24)</f>
        <v/>
      </c>
      <c r="E26" s="138">
        <f>SUM(E18:E24)</f>
        <v/>
      </c>
      <c r="F26" s="138">
        <f>SUM(F18:F24)</f>
        <v/>
      </c>
      <c r="G26" s="138">
        <f>SUM(G18:G24)</f>
        <v/>
      </c>
    </row>
    <row r="28" ht="15" customHeight="1" s="108">
      <c r="B28" s="113" t="inlineStr">
        <is>
          <t>RESUMEN R&amp;D CAPITALIZACIÓN</t>
        </is>
      </c>
      <c r="C28" s="147" t="n"/>
      <c r="D28" s="147" t="n"/>
      <c r="E28" s="147" t="n"/>
      <c r="F28" s="147" t="n"/>
      <c r="G28" s="147" t="n"/>
    </row>
    <row r="29" ht="15" customHeight="1" s="108">
      <c r="B29" s="129" t="inlineStr">
        <is>
          <t>CONCEPTO</t>
        </is>
      </c>
      <c r="C29" s="129" t="inlineStr">
        <is>
          <t>FY 2021</t>
        </is>
      </c>
      <c r="D29" s="129" t="inlineStr">
        <is>
          <t>FY 2022</t>
        </is>
      </c>
      <c r="E29" s="129" t="inlineStr">
        <is>
          <t>FY 2023</t>
        </is>
      </c>
      <c r="F29" s="129" t="inlineStr">
        <is>
          <t>FY 2024</t>
        </is>
      </c>
      <c r="G29" s="129" t="inlineStr">
        <is>
          <t>FY 2025</t>
        </is>
      </c>
    </row>
    <row r="30" ht="15" customHeight="1" s="108">
      <c r="B30" s="119" t="inlineStr">
        <is>
          <t>R&amp;D Expense</t>
        </is>
      </c>
      <c r="C30" s="139">
        <f>C13</f>
        <v/>
      </c>
      <c r="D30" s="139">
        <f>D13</f>
        <v/>
      </c>
      <c r="E30" s="139">
        <f>E13</f>
        <v/>
      </c>
      <c r="F30" s="139">
        <f>F13</f>
        <v/>
      </c>
      <c r="G30" s="139">
        <f>G13</f>
        <v/>
      </c>
    </row>
    <row r="31" ht="15" customHeight="1" s="108">
      <c r="B31" s="114" t="inlineStr">
        <is>
          <t>Economic Amortization</t>
        </is>
      </c>
      <c r="C31" s="150">
        <f>C26</f>
        <v/>
      </c>
      <c r="D31" s="150">
        <f>D26</f>
        <v/>
      </c>
      <c r="E31" s="150">
        <f>E26</f>
        <v/>
      </c>
      <c r="F31" s="150">
        <f>F26</f>
        <v/>
      </c>
      <c r="G31" s="150">
        <f>G26</f>
        <v/>
      </c>
    </row>
    <row r="32" ht="15" customHeight="1" s="108">
      <c r="B32" s="119" t="inlineStr">
        <is>
          <t>R&amp;D Growth Expense</t>
        </is>
      </c>
      <c r="C32" s="139">
        <f>C30-C31</f>
        <v/>
      </c>
      <c r="D32" s="139">
        <f>D30-D31</f>
        <v/>
      </c>
      <c r="E32" s="139">
        <f>E30-E31</f>
        <v/>
      </c>
      <c r="F32" s="139">
        <f>F30-F31</f>
        <v/>
      </c>
      <c r="G32" s="139">
        <f>G30-G31</f>
        <v/>
      </c>
    </row>
    <row r="33" ht="15" customHeight="1" s="108">
      <c r="B33" s="137" t="inlineStr">
        <is>
          <t>R&amp;D Asset (Unamortized Balance)</t>
        </is>
      </c>
      <c r="C33" s="138">
        <f>(3/$C$6)*$H$23+(4/$C$6)*$H$24+(5/$C$6)*$C$13</f>
        <v/>
      </c>
      <c r="D33" s="138">
        <f>(2/$C$6)*$H$23+(3/$C$6)*$H$24+(4/$C$6)*$C$13+(5/$C$6)*$D$13</f>
        <v/>
      </c>
      <c r="E33" s="138">
        <f>(1/$C$6)*$H$23+(2/$C$6)*$H$24+(3/$C$6)*$C$13+(4/$C$6)*$D$13+(5/$C$6)*$E$13</f>
        <v/>
      </c>
      <c r="F33" s="138">
        <f>(1/$C$6)*$H$24+(2/$C$6)*$C$13+(3/$C$6)*$D$13+(4/$C$6)*$E$13+(5/$C$6)*$F$13</f>
        <v/>
      </c>
      <c r="G33" s="138">
        <f>(1/$C$6)*$C$13+(2/$C$6)*$D$13+(3/$C$6)*$E$13+(4/$C$6)*$F$13+(5/$C$6)*$G$13</f>
        <v/>
      </c>
    </row>
    <row r="34" ht="15" customHeight="1" s="108">
      <c r="B34" s="114" t="inlineStr">
        <is>
          <t>Growth Expense % of R&amp;D</t>
        </is>
      </c>
      <c r="C34" s="141">
        <f>C32/C30</f>
        <v/>
      </c>
      <c r="D34" s="141">
        <f>D32/D30</f>
        <v/>
      </c>
      <c r="E34" s="141">
        <f>E32/E30</f>
        <v/>
      </c>
      <c r="F34" s="141">
        <f>F32/F30</f>
        <v/>
      </c>
      <c r="G34" s="141">
        <f>G32/G30</f>
        <v/>
      </c>
    </row>
    <row r="36" ht="15" customHeight="1" s="108">
      <c r="B36" s="167" t="inlineStr">
        <is>
          <t>Source: Ferrari 20-F R&amp;D line (engine + hybrid + EV tech). DCE Holdings.</t>
        </is>
      </c>
    </row>
  </sheetData>
  <mergeCells count="5">
    <mergeCell ref="B3:G3"/>
    <mergeCell ref="B2:G2"/>
    <mergeCell ref="B36:H36"/>
    <mergeCell ref="C7:G7"/>
    <mergeCell ref="C8:G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B2:F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44" customWidth="1" style="107" min="2" max="2"/>
    <col width="16" customWidth="1" style="107" min="3" max="3"/>
    <col width="12" customWidth="1" style="107" min="4" max="4"/>
    <col width="16" customWidth="1" style="107" min="5" max="5"/>
    <col width="70" customWidth="1" style="107" min="6" max="6"/>
  </cols>
  <sheetData>
    <row r="2" ht="15" customHeight="1" s="108">
      <c r="B2" s="127" t="inlineStr">
        <is>
          <t>VALOR DE REPRODUCCIÓN — Ferrari N.V. | DCE Holdings</t>
        </is>
      </c>
    </row>
    <row r="3" ht="15" customHeight="1" s="108">
      <c r="B3" s="128" t="inlineStr">
        <is>
          <t>Reproduction Value: costo estimado de replicar los activos de Ferrari desde cero (FY 2025 base)</t>
        </is>
      </c>
    </row>
    <row r="5" ht="15" customHeight="1" s="108">
      <c r="B5" s="129" t="inlineStr">
        <is>
          <t>CONCEPTO</t>
        </is>
      </c>
      <c r="C5" s="129" t="inlineStr">
        <is>
          <t>Valor Libro (€M)</t>
        </is>
      </c>
      <c r="D5" s="129" t="inlineStr">
        <is>
          <t>% Ajuste</t>
        </is>
      </c>
      <c r="E5" s="129" t="inlineStr">
        <is>
          <t>Reproduction Cost (€M)</t>
        </is>
      </c>
      <c r="F5" s="129" t="inlineStr">
        <is>
          <t>Método / Justificación</t>
        </is>
      </c>
    </row>
    <row r="6" ht="15" customHeight="1" s="108">
      <c r="B6" s="113" t="inlineStr">
        <is>
          <t>ACTIVOS TANGIBLES (del balance, FY 2025)</t>
        </is>
      </c>
      <c r="C6" s="109" t="n"/>
      <c r="D6" s="109" t="n"/>
      <c r="E6" s="109" t="n"/>
      <c r="F6" s="109" t="n"/>
    </row>
    <row r="7" ht="15" customHeight="1" s="108">
      <c r="B7" s="132" t="inlineStr">
        <is>
          <t>Cash and Cash Equivalents</t>
        </is>
      </c>
      <c r="C7" s="121">
        <f>'3. BS'!H6</f>
        <v/>
      </c>
      <c r="D7" s="168" t="n">
        <v>1</v>
      </c>
      <c r="E7" s="150">
        <f>C7*D7</f>
        <v/>
      </c>
      <c r="F7" s="158" t="inlineStr">
        <is>
          <t>100% — líquido</t>
        </is>
      </c>
    </row>
    <row r="8" ht="15" customHeight="1" s="108">
      <c r="B8" s="132" t="inlineStr">
        <is>
          <t>Short-Term Investments</t>
        </is>
      </c>
      <c r="C8" s="121">
        <f>'3. BS'!H7-'3. BS'!H6</f>
        <v/>
      </c>
      <c r="D8" s="168" t="n">
        <v>1</v>
      </c>
      <c r="E8" s="150">
        <f>C8*D8</f>
        <v/>
      </c>
      <c r="F8" s="158" t="inlineStr">
        <is>
          <t>100% — marketable securities at fair value</t>
        </is>
      </c>
    </row>
    <row r="9" ht="15" customHeight="1" s="108">
      <c r="B9" s="132" t="inlineStr">
        <is>
          <t>Trade Receivables</t>
        </is>
      </c>
      <c r="C9" s="121">
        <f>'3. BS'!H8</f>
        <v/>
      </c>
      <c r="D9" s="168" t="n">
        <v>0.97</v>
      </c>
      <c r="E9" s="150">
        <f>C9*D9</f>
        <v/>
      </c>
      <c r="F9" s="158" t="inlineStr">
        <is>
          <t>97% — small allowance for doubtful accounts (luxury client base low-risk)</t>
        </is>
      </c>
    </row>
    <row r="10" ht="15" customHeight="1" s="108">
      <c r="B10" s="132" t="inlineStr">
        <is>
          <t>Inventories</t>
        </is>
      </c>
      <c r="C10" s="121">
        <f>'3. BS'!H9</f>
        <v/>
      </c>
      <c r="D10" s="168" t="n">
        <v>0.95</v>
      </c>
      <c r="E10" s="150">
        <f>C10*D10</f>
        <v/>
      </c>
      <c r="F10" s="158" t="inlineStr">
        <is>
          <t>95% — partially built supercars, parts inventory; small obsolescence risk</t>
        </is>
      </c>
    </row>
    <row r="11" ht="15" customHeight="1" s="108">
      <c r="B11" s="132" t="inlineStr">
        <is>
          <t>Other Current Assets</t>
        </is>
      </c>
      <c r="C11" s="121">
        <f>'3. BS'!H10</f>
        <v/>
      </c>
      <c r="D11" s="168" t="n">
        <v>0.9</v>
      </c>
      <c r="E11" s="150">
        <f>C11*D11</f>
        <v/>
      </c>
      <c r="F11" s="158" t="inlineStr">
        <is>
          <t>90% — prepaid + tax receivables</t>
        </is>
      </c>
    </row>
    <row r="12" ht="15" customHeight="1" s="108">
      <c r="B12" s="132" t="inlineStr">
        <is>
          <t>PP&amp;E Net (Maranello plant)</t>
        </is>
      </c>
      <c r="C12" s="121">
        <f>'3. BS'!H13</f>
        <v/>
      </c>
      <c r="D12" s="168" t="n">
        <v>1.15</v>
      </c>
      <c r="E12" s="150">
        <f>C12*D12</f>
        <v/>
      </c>
      <c r="F12" s="158" t="inlineStr">
        <is>
          <t>115% — replacement cost &gt; book due to inflation in industrial construction (factory build cost &gt; depreciated book)</t>
        </is>
      </c>
    </row>
    <row r="13" ht="15" customHeight="1" s="108">
      <c r="B13" s="132" t="inlineStr">
        <is>
          <t>Long-Term Financial Services Receivables</t>
        </is>
      </c>
      <c r="C13" s="121">
        <f>'3. BS'!H16</f>
        <v/>
      </c>
      <c r="D13" s="168" t="n">
        <v>0.95</v>
      </c>
      <c r="E13" s="150">
        <f>C13*D13</f>
        <v/>
      </c>
      <c r="F13" s="158" t="inlineStr">
        <is>
          <t>95% — Ferrari Financial Services loan book</t>
        </is>
      </c>
    </row>
    <row r="14" ht="15" customHeight="1" s="108">
      <c r="B14" s="149" t="inlineStr">
        <is>
          <t>Subtotal Tangibles</t>
        </is>
      </c>
      <c r="C14" s="169" t="n"/>
      <c r="D14" s="170" t="n"/>
      <c r="E14" s="134">
        <f>SUM(E7:E13)</f>
        <v/>
      </c>
      <c r="F14" s="171" t="n"/>
    </row>
    <row r="16" ht="15" customHeight="1" s="108">
      <c r="B16" s="113" t="inlineStr">
        <is>
          <t>ACTIVOS INTANGIBLES (reconstruir desde cero)</t>
        </is>
      </c>
      <c r="C16" s="109" t="n"/>
      <c r="D16" s="109" t="n"/>
      <c r="E16" s="109" t="n"/>
      <c r="F16" s="109" t="n"/>
    </row>
    <row r="17" ht="15" customHeight="1" s="108">
      <c r="B17" s="132" t="inlineStr">
        <is>
          <t>Brand / Heritage (80-year compounded)</t>
        </is>
      </c>
      <c r="C17" s="133" t="n">
        <v>1638</v>
      </c>
      <c r="D17" s="141">
        <f>E17/C17</f>
        <v/>
      </c>
      <c r="E17" s="150">
        <f>3000</f>
        <v/>
      </c>
      <c r="F17" s="158" t="inlineStr">
        <is>
          <t>Mktg accumulated 10y × 60% efficiency factor + irreplaceable 80y heritage premium. Reproduction proxy €3,000M.</t>
        </is>
      </c>
    </row>
    <row r="18" ht="15" customHeight="1" s="108">
      <c r="B18" s="132" t="inlineStr">
        <is>
          <t>F1 Racing Operations (only constructor since 1950)</t>
        </is>
      </c>
      <c r="C18" s="133" t="n">
        <v>0</v>
      </c>
      <c r="D18" s="172" t="inlineStr">
        <is>
          <t>N/A</t>
        </is>
      </c>
      <c r="E18" s="150">
        <f>1680</f>
        <v/>
      </c>
      <c r="F18" s="158" t="inlineStr">
        <is>
          <t>F1 budget €350M/y × 8y × 60% efficiency = €1,680M. Cannot be replicated (only Ferrari has continuous F1 since 1950).</t>
        </is>
      </c>
    </row>
    <row r="19" ht="15" customHeight="1" s="108">
      <c r="B19" s="132" t="inlineStr">
        <is>
          <t>Customer Relationships (HNW waitlist, Icona/hypercar)</t>
        </is>
      </c>
      <c r="C19" s="133" t="n">
        <v>0</v>
      </c>
      <c r="D19" s="172" t="inlineStr">
        <is>
          <t>N/A</t>
        </is>
      </c>
      <c r="E19" s="150">
        <f>500</f>
        <v/>
      </c>
      <c r="F19" s="158" t="inlineStr">
        <is>
          <t>Invitation-only Icona/hypercar list; Tailor Made S&amp;M × 5y + relationship-building costs. Proxy €500M.</t>
        </is>
      </c>
    </row>
    <row r="20" ht="15" customHeight="1" s="108">
      <c r="B20" s="132" t="inlineStr">
        <is>
          <t>Dealer Network (167+ exclusive dealers globally)</t>
        </is>
      </c>
      <c r="C20" s="133" t="n">
        <v>0</v>
      </c>
      <c r="D20" s="172" t="inlineStr">
        <is>
          <t>N/A</t>
        </is>
      </c>
      <c r="E20" s="150">
        <f>300</f>
        <v/>
      </c>
      <c r="F20" s="158" t="inlineStr">
        <is>
          <t>Cost to recreate exclusive global dealer network (real estate, certifications, relationships). Proxy €300M.</t>
        </is>
      </c>
    </row>
    <row r="21" ht="15" customHeight="1" s="108">
      <c r="B21" s="132" t="inlineStr">
        <is>
          <t>S&amp;M Asset (Unamortized; capitalized model)</t>
        </is>
      </c>
      <c r="C21" s="121">
        <f>'6. S&amp;M Cap'!G33</f>
        <v/>
      </c>
      <c r="D21" s="168" t="n">
        <v>1</v>
      </c>
      <c r="E21" s="150">
        <f>'6. S&amp;M Cap'!G33</f>
        <v/>
      </c>
      <c r="F21" s="158" t="inlineStr">
        <is>
          <t>Link to S&amp;M Cap sheet (FY2025 column)</t>
        </is>
      </c>
    </row>
    <row r="22" ht="15" customHeight="1" s="108">
      <c r="B22" s="132" t="inlineStr">
        <is>
          <t>R&amp;D Asset (Unamortized; capitalized model)</t>
        </is>
      </c>
      <c r="C22" s="121">
        <f>'7. R&amp;D Cap'!G33</f>
        <v/>
      </c>
      <c r="D22" s="168" t="n">
        <v>1</v>
      </c>
      <c r="E22" s="150">
        <f>'7. R&amp;D Cap'!G33</f>
        <v/>
      </c>
      <c r="F22" s="158" t="inlineStr">
        <is>
          <t>Link to R&amp;D Cap sheet (FY2025 column)</t>
        </is>
      </c>
    </row>
    <row r="23" ht="15" customHeight="1" s="108">
      <c r="B23" s="132" t="inlineStr">
        <is>
          <t>Manufacturing Know-how (Maranello tacit)</t>
        </is>
      </c>
      <c r="C23" s="133" t="n">
        <v>0</v>
      </c>
      <c r="D23" s="172" t="inlineStr">
        <is>
          <t>N/A</t>
        </is>
      </c>
      <c r="E23" s="150">
        <f>500</f>
        <v/>
      </c>
      <c r="F23" s="158" t="inlineStr">
        <is>
          <t>Tacit engine/hybrid production knowledge. Proxy: 5% of PP&amp;E×book × 5y. ~€500M.</t>
        </is>
      </c>
    </row>
    <row r="24" ht="15" customHeight="1" s="108">
      <c r="B24" s="132" t="inlineStr">
        <is>
          <t>Goodwill (per DP12)</t>
        </is>
      </c>
      <c r="C24" s="121">
        <f>'3. BS'!H14</f>
        <v/>
      </c>
      <c r="D24" s="168" t="n">
        <v>0</v>
      </c>
      <c r="E24" s="150">
        <f>C24*D24</f>
        <v/>
      </c>
      <c r="F24" s="158" t="inlineStr">
        <is>
          <t>0% — reconstructed component-by-component above; including would be double counting.</t>
        </is>
      </c>
    </row>
    <row r="25" ht="15" customHeight="1" s="108">
      <c r="B25" s="149" t="inlineStr">
        <is>
          <t>Subtotal Intangibles (Reproduction)</t>
        </is>
      </c>
      <c r="C25" s="169" t="n"/>
      <c r="D25" s="170" t="n"/>
      <c r="E25" s="134">
        <f>SUM(E17:E24)</f>
        <v/>
      </c>
      <c r="F25" s="171" t="n"/>
    </row>
    <row r="27" ht="15" customHeight="1" s="108">
      <c r="B27" s="113" t="inlineStr">
        <is>
          <t>OTROS ACTIVOS</t>
        </is>
      </c>
      <c r="C27" s="109" t="n"/>
      <c r="D27" s="109" t="n"/>
      <c r="E27" s="109" t="n"/>
      <c r="F27" s="109" t="n"/>
    </row>
    <row r="28" ht="15" customHeight="1" s="108">
      <c r="B28" s="132" t="inlineStr">
        <is>
          <t>DTA (per DP14)</t>
        </is>
      </c>
      <c r="C28" s="121">
        <f>'3. BS'!H17</f>
        <v/>
      </c>
      <c r="D28" s="168" t="n">
        <v>0.8</v>
      </c>
      <c r="E28" s="150">
        <f>C28*D28</f>
        <v/>
      </c>
      <c r="F28" s="158" t="inlineStr">
        <is>
          <t>80% — Ferrari consistently profitable; high probability of realization.</t>
        </is>
      </c>
    </row>
    <row r="29" ht="15" customHeight="1" s="108">
      <c r="B29" s="132" t="inlineStr">
        <is>
          <t>Other Non-Current Assets</t>
        </is>
      </c>
      <c r="C29" s="121">
        <f>'3. BS'!H18</f>
        <v/>
      </c>
      <c r="D29" s="168" t="n">
        <v>0.7</v>
      </c>
      <c r="E29" s="150">
        <f>C29*D29</f>
        <v/>
      </c>
      <c r="F29" s="158" t="inlineStr">
        <is>
          <t>70% — financial assets + ROU + other.</t>
        </is>
      </c>
    </row>
    <row r="30" ht="15" customHeight="1" s="108">
      <c r="B30" s="149" t="inlineStr">
        <is>
          <t>Subtotal Otros</t>
        </is>
      </c>
      <c r="C30" s="169" t="n"/>
      <c r="D30" s="170" t="n"/>
      <c r="E30" s="134">
        <f>SUM(E28:E29)</f>
        <v/>
      </c>
      <c r="F30" s="171" t="n"/>
    </row>
    <row r="32" ht="15" customHeight="1" s="108">
      <c r="B32" s="149" t="inlineStr">
        <is>
          <t>Total Activos (Reproduction)</t>
        </is>
      </c>
      <c r="C32" s="169" t="n"/>
      <c r="D32" s="170" t="n"/>
      <c r="E32" s="134">
        <f>E14+E25+E30</f>
        <v/>
      </c>
      <c r="F32" s="171" t="n"/>
    </row>
    <row r="34" ht="15" customHeight="1" s="108">
      <c r="B34" s="113" t="inlineStr">
        <is>
          <t>PASIVOS (FY 2025, 100% contractual)</t>
        </is>
      </c>
      <c r="C34" s="109" t="n"/>
      <c r="D34" s="109" t="n"/>
      <c r="E34" s="109" t="n"/>
      <c r="F34" s="109" t="n"/>
    </row>
    <row r="35" ht="15" customHeight="1" s="108">
      <c r="B35" s="132" t="inlineStr">
        <is>
          <t>Accounts Payable</t>
        </is>
      </c>
      <c r="C35" s="121">
        <f>'3. BS'!H23</f>
        <v/>
      </c>
      <c r="D35" s="168" t="n">
        <v>1</v>
      </c>
      <c r="E35" s="150">
        <f>C35*D35</f>
        <v/>
      </c>
      <c r="F35" s="158" t="inlineStr">
        <is>
          <t>Contractual</t>
        </is>
      </c>
    </row>
    <row r="36" ht="15" customHeight="1" s="108">
      <c r="B36" s="132" t="inlineStr">
        <is>
          <t>Short-Term Debt</t>
        </is>
      </c>
      <c r="C36" s="121">
        <f>'3. BS'!H24</f>
        <v/>
      </c>
      <c r="D36" s="168" t="n">
        <v>1</v>
      </c>
      <c r="E36" s="150">
        <f>C36*D36</f>
        <v/>
      </c>
      <c r="F36" s="158" t="inlineStr">
        <is>
          <t>Contractual</t>
        </is>
      </c>
    </row>
    <row r="37" ht="15" customHeight="1" s="108">
      <c r="B37" s="132" t="inlineStr">
        <is>
          <t>Other Current Liabilities</t>
        </is>
      </c>
      <c r="C37" s="121">
        <f>'3. BS'!H25+'3. BS'!H26</f>
        <v/>
      </c>
      <c r="D37" s="168" t="n">
        <v>1</v>
      </c>
      <c r="E37" s="150">
        <f>C37*D37</f>
        <v/>
      </c>
      <c r="F37" s="158" t="inlineStr">
        <is>
          <t>Contractual</t>
        </is>
      </c>
    </row>
    <row r="38" ht="15" customHeight="1" s="108">
      <c r="B38" s="132" t="inlineStr">
        <is>
          <t>Long-Term Debt</t>
        </is>
      </c>
      <c r="C38" s="121">
        <f>'3. BS'!H29</f>
        <v/>
      </c>
      <c r="D38" s="168" t="n">
        <v>1</v>
      </c>
      <c r="E38" s="150">
        <f>C38*D38</f>
        <v/>
      </c>
      <c r="F38" s="158" t="inlineStr">
        <is>
          <t>Contractual</t>
        </is>
      </c>
    </row>
    <row r="39" ht="15" customHeight="1" s="108">
      <c r="B39" s="132" t="inlineStr">
        <is>
          <t>Lease Liabilities</t>
        </is>
      </c>
      <c r="C39" s="121">
        <f>'3. BS'!H30</f>
        <v/>
      </c>
      <c r="D39" s="168" t="n">
        <v>1</v>
      </c>
      <c r="E39" s="150">
        <f>C39*D39</f>
        <v/>
      </c>
      <c r="F39" s="158" t="inlineStr">
        <is>
          <t>IFRS 16</t>
        </is>
      </c>
    </row>
    <row r="40" ht="15" customHeight="1" s="108">
      <c r="B40" s="132" t="inlineStr">
        <is>
          <t>Long-Term Provisions</t>
        </is>
      </c>
      <c r="C40" s="121">
        <f>'3. BS'!H31</f>
        <v/>
      </c>
      <c r="D40" s="168" t="n">
        <v>1</v>
      </c>
      <c r="E40" s="150">
        <f>C40*D40</f>
        <v/>
      </c>
      <c r="F40" s="158" t="inlineStr">
        <is>
          <t>Contractual</t>
        </is>
      </c>
    </row>
    <row r="41" ht="15" customHeight="1" s="108">
      <c r="B41" s="132" t="inlineStr">
        <is>
          <t>Deferred Tax Liabilities</t>
        </is>
      </c>
      <c r="C41" s="121">
        <f>'3. BS'!H32</f>
        <v/>
      </c>
      <c r="D41" s="168" t="n">
        <v>1</v>
      </c>
      <c r="E41" s="150">
        <f>C41*D41</f>
        <v/>
      </c>
      <c r="F41" s="158" t="inlineStr">
        <is>
          <t>Contractual</t>
        </is>
      </c>
    </row>
    <row r="42" ht="15" customHeight="1" s="108">
      <c r="B42" s="132" t="inlineStr">
        <is>
          <t>Other Non-Current Liabilities</t>
        </is>
      </c>
      <c r="C42" s="121">
        <f>'3. BS'!H33</f>
        <v/>
      </c>
      <c r="D42" s="168" t="n">
        <v>1</v>
      </c>
      <c r="E42" s="150">
        <f>C42*D42</f>
        <v/>
      </c>
      <c r="F42" s="158" t="inlineStr">
        <is>
          <t>Contractual</t>
        </is>
      </c>
    </row>
    <row r="43" ht="15" customHeight="1" s="108">
      <c r="B43" s="149" t="inlineStr">
        <is>
          <t>Total Pasivos</t>
        </is>
      </c>
      <c r="C43" s="169" t="n"/>
      <c r="D43" s="170" t="n"/>
      <c r="E43" s="134">
        <f>SUM(E35:E42)</f>
        <v/>
      </c>
      <c r="F43" s="171" t="n"/>
    </row>
    <row r="45" ht="15" customHeight="1" s="108">
      <c r="B45" s="113" t="inlineStr">
        <is>
          <t>CÁLCULO REPRODUCTION VALUE</t>
        </is>
      </c>
      <c r="C45" s="109" t="n"/>
      <c r="D45" s="109" t="n"/>
      <c r="E45" s="109" t="n"/>
      <c r="F45" s="109" t="n"/>
    </row>
    <row r="46" ht="15" customHeight="1" s="108">
      <c r="B46" s="114" t="inlineStr">
        <is>
          <t>Total Activos (Reproduction)</t>
        </is>
      </c>
      <c r="E46" s="150">
        <f>E32</f>
        <v/>
      </c>
    </row>
    <row r="47" ht="15" customHeight="1" s="108">
      <c r="B47" s="114" t="inlineStr">
        <is>
          <t>(−) Total Pasivos</t>
        </is>
      </c>
      <c r="E47" s="150">
        <f>-E43</f>
        <v/>
      </c>
    </row>
    <row r="48" ht="15" customHeight="1" s="108">
      <c r="B48" s="137" t="inlineStr">
        <is>
          <t>Reproduction Value (€M)</t>
        </is>
      </c>
      <c r="E48" s="138">
        <f>E46+E47</f>
        <v/>
      </c>
    </row>
    <row r="49" ht="15" customHeight="1" s="108">
      <c r="B49" s="114" t="inlineStr">
        <is>
          <t>Acciones Diluidas (M)</t>
        </is>
      </c>
      <c r="E49" s="173">
        <f>'2. IS'!H31</f>
        <v/>
      </c>
    </row>
    <row r="50" ht="15" customHeight="1" s="108">
      <c r="B50" s="128" t="inlineStr">
        <is>
          <t>Reproduction Value por Acción (€)</t>
        </is>
      </c>
      <c r="E50" s="174">
        <f>E48/E49</f>
        <v/>
      </c>
    </row>
    <row r="52" ht="15" customHeight="1" s="108">
      <c r="B52" s="158" t="inlineStr">
        <is>
          <t>Nota: El Reproduction Value no captura el time-to-build. Replicar Ferrari requiere ~80 años de heritage F1 + brand. Por ello, esta estimación es CONSERVADORA del valor de los activos. Cifras intangibles fundamentadas en racionales arriba detallados.</t>
        </is>
      </c>
    </row>
    <row r="54" ht="15" customHeight="1" s="108">
      <c r="B54" s="167" t="inlineStr">
        <is>
          <t>Source: Ferrari 20-F balance sheet + DCE Holdings reproduction cost estimates per industry framework</t>
        </is>
      </c>
    </row>
  </sheetData>
  <mergeCells count="4">
    <mergeCell ref="B2:F2"/>
    <mergeCell ref="B54:F54"/>
    <mergeCell ref="B3:F3"/>
    <mergeCell ref="B52:F5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833C00"/>
    <outlinePr summaryBelow="1" summaryRight="1"/>
    <pageSetUpPr fitToPage="0"/>
  </sheetPr>
  <dimension ref="B2:J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44" customWidth="1" style="107" min="2" max="2"/>
    <col width="14" customWidth="1" style="107" min="3" max="3"/>
    <col width="13" customWidth="1" style="107" min="4" max="9"/>
    <col width="14" customWidth="1" style="107" min="10" max="10"/>
  </cols>
  <sheetData>
    <row r="2" ht="15" customHeight="1" s="108">
      <c r="B2" s="127" t="inlineStr">
        <is>
          <t>NOPAT AJUSTADO — Ferrari N.V. | DCE Holdings</t>
        </is>
      </c>
    </row>
    <row r="3" ht="15" customHeight="1" s="108">
      <c r="B3" s="128" t="inlineStr">
        <is>
          <t>Normalización ventana FY2022-2025 (excluye COVID 2020-2021). Tax 20.5% normalizado. Margen Op Normalizado: 27% (mediana 4y).</t>
        </is>
      </c>
    </row>
    <row r="4" ht="15" customHeight="1" s="108">
      <c r="B4" s="129" t="inlineStr">
        <is>
          <t>CONCEPTO (€M)</t>
        </is>
      </c>
      <c r="C4" s="129" t="inlineStr">
        <is>
          <t>Parámetro</t>
        </is>
      </c>
      <c r="D4" s="129" t="inlineStr">
        <is>
          <t>FY 2020</t>
        </is>
      </c>
      <c r="E4" s="129" t="inlineStr">
        <is>
          <t>FY 2021</t>
        </is>
      </c>
      <c r="F4" s="129" t="inlineStr">
        <is>
          <t>FY 2022</t>
        </is>
      </c>
      <c r="G4" s="129" t="inlineStr">
        <is>
          <t>FY 2023</t>
        </is>
      </c>
      <c r="H4" s="129" t="inlineStr">
        <is>
          <t>FY 2024</t>
        </is>
      </c>
      <c r="I4" s="129" t="inlineStr">
        <is>
          <t>FY 2025</t>
        </is>
      </c>
      <c r="J4" s="129" t="inlineStr">
        <is>
          <t>Normalizado</t>
        </is>
      </c>
    </row>
    <row r="5" ht="15" customHeight="1" s="108">
      <c r="B5" s="113" t="inlineStr">
        <is>
          <t>PARÁMETROS</t>
        </is>
      </c>
      <c r="C5" s="109" t="n"/>
      <c r="D5" s="109" t="n"/>
      <c r="E5" s="109" t="n"/>
      <c r="F5" s="109" t="n"/>
      <c r="G5" s="109" t="n"/>
      <c r="H5" s="109" t="n"/>
      <c r="I5" s="109" t="n"/>
      <c r="J5" s="109" t="n"/>
    </row>
    <row r="6" ht="15" customHeight="1" s="108">
      <c r="B6" s="114" t="inlineStr">
        <is>
          <t>Tax Rate Normalizado</t>
        </is>
      </c>
      <c r="C6" s="168" t="n">
        <v>0.205</v>
      </c>
      <c r="D6" s="158" t="inlineStr">
        <is>
          <t>DP #8: Median FY2021-2025 ETR (20.0/20.2/21.5/19.2/22.5 → median 20.5%)</t>
        </is>
      </c>
    </row>
    <row r="7" ht="15" customHeight="1" s="108">
      <c r="B7" s="114" t="inlineStr">
        <is>
          <t>Normalization Items</t>
        </is>
      </c>
      <c r="C7" s="115" t="inlineStr">
        <is>
          <t>None material — Ferrari has very clean P&amp;L (DP #7)</t>
        </is>
      </c>
    </row>
    <row r="8" ht="15" customHeight="1" s="108">
      <c r="B8" s="114" t="inlineStr">
        <is>
          <t>Ventana Normalización</t>
        </is>
      </c>
      <c r="C8" s="115" t="inlineStr">
        <is>
          <t>Last 4 FYs (2022-2025) — exclude COVID 2020-2021 (DP #6)</t>
        </is>
      </c>
    </row>
    <row r="9" ht="15" customHeight="1" s="108">
      <c r="B9" s="114" t="inlineStr">
        <is>
          <t>Revenue Base (No-Growth Scenario, €M)</t>
        </is>
      </c>
      <c r="C9" s="133" t="n">
        <v>7146</v>
      </c>
      <c r="D9" s="158" t="inlineStr">
        <is>
          <t>Default = FY2025 Revenue €7,146M. No cyclical distortion — luxury demand robust.</t>
        </is>
      </c>
    </row>
    <row r="10" ht="15" customHeight="1" s="108">
      <c r="B10" s="114" t="inlineStr">
        <is>
          <t>Margen Op Normalizado</t>
        </is>
      </c>
      <c r="C10" s="168" t="n">
        <v>0.27</v>
      </c>
      <c r="D10" s="158" t="inlineStr">
        <is>
          <t>Mediana 4y clean margin (2022-2025): 24/27/28/29.5 → 27.5%. Selected 27% (conservative vs LTM 29.5%).</t>
        </is>
      </c>
    </row>
    <row r="12" ht="15" customHeight="1" s="108">
      <c r="B12" s="113" t="inlineStr">
        <is>
          <t>INGRESOS</t>
        </is>
      </c>
      <c r="C12" s="109" t="n"/>
      <c r="D12" s="109" t="n"/>
      <c r="E12" s="109" t="n"/>
      <c r="F12" s="109" t="n"/>
      <c r="G12" s="109" t="n"/>
      <c r="H12" s="109" t="n"/>
      <c r="I12" s="109" t="n"/>
      <c r="J12" s="109" t="n"/>
    </row>
    <row r="13" ht="15" customHeight="1" s="108">
      <c r="B13" s="130" t="inlineStr">
        <is>
          <t>Revenue</t>
        </is>
      </c>
      <c r="C13" s="175" t="n"/>
      <c r="D13" s="176">
        <f>'2. IS'!C5</f>
        <v/>
      </c>
      <c r="E13" s="176">
        <f>'2. IS'!D5</f>
        <v/>
      </c>
      <c r="F13" s="176">
        <f>'2. IS'!E5</f>
        <v/>
      </c>
      <c r="G13" s="176">
        <f>'2. IS'!F5</f>
        <v/>
      </c>
      <c r="H13" s="176">
        <f>'2. IS'!G5</f>
        <v/>
      </c>
      <c r="I13" s="176">
        <f>'2. IS'!H5</f>
        <v/>
      </c>
      <c r="J13" s="120">
        <f>C9</f>
        <v/>
      </c>
    </row>
    <row r="15" ht="15" customHeight="1" s="108">
      <c r="B15" s="113" t="inlineStr">
        <is>
          <t>CÁLCULO — UTILIDAD OPERATIVA AJUSTADA</t>
        </is>
      </c>
      <c r="C15" s="109" t="n"/>
      <c r="D15" s="109" t="n"/>
      <c r="E15" s="109" t="n"/>
      <c r="F15" s="109" t="n"/>
      <c r="G15" s="109" t="n"/>
      <c r="H15" s="109" t="n"/>
      <c r="I15" s="109" t="n"/>
      <c r="J15" s="109" t="n"/>
    </row>
    <row r="16" ht="15" customHeight="1" s="108">
      <c r="B16" s="132" t="inlineStr">
        <is>
          <t>Utilidad Operativa Reportada</t>
        </is>
      </c>
      <c r="D16" s="121">
        <f>'2. IS'!C16</f>
        <v/>
      </c>
      <c r="E16" s="121">
        <f>'2. IS'!D16</f>
        <v/>
      </c>
      <c r="F16" s="121">
        <f>'2. IS'!E16</f>
        <v/>
      </c>
      <c r="G16" s="121">
        <f>'2. IS'!F16</f>
        <v/>
      </c>
      <c r="H16" s="121">
        <f>'2. IS'!G16</f>
        <v/>
      </c>
      <c r="I16" s="121">
        <f>'2. IS'!H16</f>
        <v/>
      </c>
      <c r="J16" s="150">
        <f>I16</f>
        <v/>
      </c>
    </row>
    <row r="17" ht="15" customHeight="1" s="108">
      <c r="B17" s="132" t="inlineStr">
        <is>
          <t>(+) Normalization Adjustments</t>
        </is>
      </c>
      <c r="D17" s="133" t="n">
        <v>0</v>
      </c>
      <c r="E17" s="133" t="n">
        <v>0</v>
      </c>
      <c r="F17" s="133" t="n">
        <v>0</v>
      </c>
      <c r="G17" s="133" t="n">
        <v>0</v>
      </c>
      <c r="H17" s="133" t="n">
        <v>0</v>
      </c>
      <c r="I17" s="133" t="n">
        <v>0</v>
      </c>
      <c r="J17" s="133" t="n">
        <v>0</v>
      </c>
    </row>
    <row r="18" ht="15" customHeight="1" s="108">
      <c r="B18" s="130" t="inlineStr">
        <is>
          <t>Utilidad Operativa Limpia</t>
        </is>
      </c>
      <c r="C18" s="175" t="n"/>
      <c r="D18" s="120">
        <f>D16+D17</f>
        <v/>
      </c>
      <c r="E18" s="120">
        <f>E16+E17</f>
        <v/>
      </c>
      <c r="F18" s="120">
        <f>F16+F17</f>
        <v/>
      </c>
      <c r="G18" s="120">
        <f>G16+G17</f>
        <v/>
      </c>
      <c r="H18" s="120">
        <f>H16+H17</f>
        <v/>
      </c>
      <c r="I18" s="120">
        <f>I16+I17</f>
        <v/>
      </c>
      <c r="J18" s="120">
        <f>C9*C10</f>
        <v/>
      </c>
    </row>
    <row r="19" ht="15" customHeight="1" s="108">
      <c r="B19" s="132" t="inlineStr">
        <is>
          <t>(+) Marketing add-back (TOTAL = 70% of SG&amp;A)</t>
        </is>
      </c>
      <c r="D19" s="121">
        <f>0.7*'2. IS'!C10</f>
        <v/>
      </c>
      <c r="E19" s="121">
        <f>0.7*'2. IS'!D10</f>
        <v/>
      </c>
      <c r="F19" s="121">
        <f>0.7*'2. IS'!E10</f>
        <v/>
      </c>
      <c r="G19" s="121">
        <f>0.7*'2. IS'!F10</f>
        <v/>
      </c>
      <c r="H19" s="121">
        <f>0.7*'2. IS'!G10</f>
        <v/>
      </c>
      <c r="I19" s="121">
        <f>0.7*'2. IS'!H10</f>
        <v/>
      </c>
      <c r="J19" s="150">
        <f>I19</f>
        <v/>
      </c>
    </row>
    <row r="20" ht="15" customHeight="1" s="108">
      <c r="B20" s="132" t="inlineStr">
        <is>
          <t>(−) Economic Amortization S&amp;M (Maintenance)</t>
        </is>
      </c>
      <c r="D20" s="133" t="n">
        <v>0</v>
      </c>
      <c r="E20" s="121">
        <f>-'6. S&amp;M Cap'!C31</f>
        <v/>
      </c>
      <c r="F20" s="121">
        <f>-'6. S&amp;M Cap'!D31</f>
        <v/>
      </c>
      <c r="G20" s="121">
        <f>-'6. S&amp;M Cap'!E31</f>
        <v/>
      </c>
      <c r="H20" s="121">
        <f>-'6. S&amp;M Cap'!F31</f>
        <v/>
      </c>
      <c r="I20" s="121">
        <f>-'6. S&amp;M Cap'!G31</f>
        <v/>
      </c>
      <c r="J20" s="150">
        <f>I20</f>
        <v/>
      </c>
    </row>
    <row r="21" ht="15" customHeight="1" s="108">
      <c r="B21" s="177" t="inlineStr">
        <is>
          <t>S&amp;M Growth Expense (referencia — no reduce NOPAT)</t>
        </is>
      </c>
      <c r="D21" s="178" t="n">
        <v>0</v>
      </c>
      <c r="E21" s="178">
        <f>'6. S&amp;M Cap'!C32</f>
        <v/>
      </c>
      <c r="F21" s="178">
        <f>'6. S&amp;M Cap'!D32</f>
        <v/>
      </c>
      <c r="G21" s="178">
        <f>'6. S&amp;M Cap'!E32</f>
        <v/>
      </c>
      <c r="H21" s="178">
        <f>'6. S&amp;M Cap'!F32</f>
        <v/>
      </c>
      <c r="I21" s="178">
        <f>'6. S&amp;M Cap'!G32</f>
        <v/>
      </c>
      <c r="J21" s="178">
        <f>I21</f>
        <v/>
      </c>
    </row>
    <row r="22" ht="15" customHeight="1" s="108">
      <c r="B22" s="132" t="inlineStr">
        <is>
          <t>(+) R&amp;D add-back (TOTAL)</t>
        </is>
      </c>
      <c r="D22" s="121">
        <f>'2. IS'!C11</f>
        <v/>
      </c>
      <c r="E22" s="121">
        <f>'2. IS'!D11</f>
        <v/>
      </c>
      <c r="F22" s="121">
        <f>'2. IS'!E11</f>
        <v/>
      </c>
      <c r="G22" s="121">
        <f>'2. IS'!F11</f>
        <v/>
      </c>
      <c r="H22" s="121">
        <f>'2. IS'!G11</f>
        <v/>
      </c>
      <c r="I22" s="121">
        <f>'2. IS'!H11</f>
        <v/>
      </c>
      <c r="J22" s="150">
        <f>I22</f>
        <v/>
      </c>
    </row>
    <row r="23" ht="15" customHeight="1" s="108">
      <c r="B23" s="132" t="inlineStr">
        <is>
          <t>(−) Economic Amortization R&amp;D (Maintenance)</t>
        </is>
      </c>
      <c r="D23" s="133" t="n">
        <v>0</v>
      </c>
      <c r="E23" s="121">
        <f>-'7. R&amp;D Cap'!C31</f>
        <v/>
      </c>
      <c r="F23" s="121">
        <f>-'7. R&amp;D Cap'!D31</f>
        <v/>
      </c>
      <c r="G23" s="121">
        <f>-'7. R&amp;D Cap'!E31</f>
        <v/>
      </c>
      <c r="H23" s="121">
        <f>-'7. R&amp;D Cap'!F31</f>
        <v/>
      </c>
      <c r="I23" s="121">
        <f>-'7. R&amp;D Cap'!G31</f>
        <v/>
      </c>
      <c r="J23" s="150">
        <f>I23</f>
        <v/>
      </c>
    </row>
    <row r="24" ht="15" customHeight="1" s="108">
      <c r="B24" s="177" t="inlineStr">
        <is>
          <t>R&amp;D Growth Expense (referencia — no reduce NOPAT)</t>
        </is>
      </c>
      <c r="D24" s="178" t="n">
        <v>0</v>
      </c>
      <c r="E24" s="178">
        <f>'7. R&amp;D Cap'!C32</f>
        <v/>
      </c>
      <c r="F24" s="178">
        <f>'7. R&amp;D Cap'!D32</f>
        <v/>
      </c>
      <c r="G24" s="178">
        <f>'7. R&amp;D Cap'!E32</f>
        <v/>
      </c>
      <c r="H24" s="178">
        <f>'7. R&amp;D Cap'!F32</f>
        <v/>
      </c>
      <c r="I24" s="178">
        <f>'7. R&amp;D Cap'!G32</f>
        <v/>
      </c>
      <c r="J24" s="178">
        <f>I24</f>
        <v/>
      </c>
    </row>
    <row r="25" ht="15" customHeight="1" s="108">
      <c r="B25" s="130" t="inlineStr">
        <is>
          <t>Utilidad Operativa Ajustada (pre-tax)</t>
        </is>
      </c>
      <c r="C25" s="175" t="n"/>
      <c r="D25" s="120">
        <f>D18+D19+D20+D22+D23</f>
        <v/>
      </c>
      <c r="E25" s="120">
        <f>E18+E19+E20+E22+E23</f>
        <v/>
      </c>
      <c r="F25" s="120">
        <f>F18+F19+F20+F22+F23</f>
        <v/>
      </c>
      <c r="G25" s="120">
        <f>G18+G19+G20+G22+G23</f>
        <v/>
      </c>
      <c r="H25" s="120">
        <f>H18+H19+H20+H22+H23</f>
        <v/>
      </c>
      <c r="I25" s="120">
        <f>I18+I19+I20+I22+I23</f>
        <v/>
      </c>
      <c r="J25" s="120">
        <f>J18+J19+J20+J22+J23</f>
        <v/>
      </c>
    </row>
    <row r="26" ht="15" customHeight="1" s="108">
      <c r="B26" s="132" t="inlineStr">
        <is>
          <t>× (1 − Tax Rate Normalizado)</t>
        </is>
      </c>
      <c r="D26" s="141">
        <f>1-$C$6</f>
        <v/>
      </c>
      <c r="E26" s="141">
        <f>1-$C$6</f>
        <v/>
      </c>
      <c r="F26" s="141">
        <f>1-$C$6</f>
        <v/>
      </c>
      <c r="G26" s="141">
        <f>1-$C$6</f>
        <v/>
      </c>
      <c r="H26" s="141">
        <f>1-$C$6</f>
        <v/>
      </c>
      <c r="I26" s="141">
        <f>1-$C$6</f>
        <v/>
      </c>
      <c r="J26" s="141">
        <f>1-$C$6</f>
        <v/>
      </c>
    </row>
    <row r="27" ht="15" customHeight="1" s="108">
      <c r="B27" s="137" t="inlineStr">
        <is>
          <t>NOPAT Ajustado</t>
        </is>
      </c>
      <c r="C27" s="179" t="n"/>
      <c r="D27" s="138">
        <f>D25*D26</f>
        <v/>
      </c>
      <c r="E27" s="138">
        <f>E25*E26</f>
        <v/>
      </c>
      <c r="F27" s="138">
        <f>F25*F26</f>
        <v/>
      </c>
      <c r="G27" s="138">
        <f>G25*G26</f>
        <v/>
      </c>
      <c r="H27" s="138">
        <f>H25*H26</f>
        <v/>
      </c>
      <c r="I27" s="138">
        <f>I25*I26</f>
        <v/>
      </c>
      <c r="J27" s="138">
        <f>J25*J26</f>
        <v/>
      </c>
    </row>
    <row r="29" ht="15" customHeight="1" s="108">
      <c r="B29" s="113" t="inlineStr">
        <is>
          <t>MÉTRICAS</t>
        </is>
      </c>
      <c r="C29" s="109" t="n"/>
      <c r="D29" s="109" t="n"/>
      <c r="E29" s="109" t="n"/>
      <c r="F29" s="109" t="n"/>
      <c r="G29" s="109" t="n"/>
      <c r="H29" s="109" t="n"/>
      <c r="I29" s="109" t="n"/>
      <c r="J29" s="109" t="n"/>
    </row>
    <row r="30" ht="15" customHeight="1" s="108">
      <c r="B30" s="132" t="inlineStr">
        <is>
          <t>Margen Op Limpio (OpInc Clean / Revenue)</t>
        </is>
      </c>
      <c r="D30" s="141">
        <f>D18/D13</f>
        <v/>
      </c>
      <c r="E30" s="141">
        <f>E18/E13</f>
        <v/>
      </c>
      <c r="F30" s="141">
        <f>F18/F13</f>
        <v/>
      </c>
      <c r="G30" s="141">
        <f>G18/G13</f>
        <v/>
      </c>
      <c r="H30" s="141">
        <f>H18/H13</f>
        <v/>
      </c>
      <c r="I30" s="141">
        <f>I18/I13</f>
        <v/>
      </c>
      <c r="J30" s="168">
        <f>C10</f>
        <v/>
      </c>
    </row>
    <row r="31" ht="15" customHeight="1" s="108">
      <c r="B31" s="132" t="inlineStr">
        <is>
          <t>NOPAT Margin %</t>
        </is>
      </c>
      <c r="D31" s="141">
        <f>D27/D13</f>
        <v/>
      </c>
      <c r="E31" s="141">
        <f>E27/E13</f>
        <v/>
      </c>
      <c r="F31" s="141">
        <f>F27/F13</f>
        <v/>
      </c>
      <c r="G31" s="141">
        <f>G27/G13</f>
        <v/>
      </c>
      <c r="H31" s="141">
        <f>H27/H13</f>
        <v/>
      </c>
      <c r="I31" s="141">
        <f>I27/I13</f>
        <v/>
      </c>
      <c r="J31" s="141">
        <f>J27/J13</f>
        <v/>
      </c>
    </row>
    <row r="32" ht="15" customHeight="1" s="108">
      <c r="B32" s="132" t="inlineStr">
        <is>
          <t>NOPAT YoY Growth %</t>
        </is>
      </c>
      <c r="D32" s="180" t="inlineStr">
        <is>
          <t>N/A</t>
        </is>
      </c>
      <c r="E32" s="141">
        <f>(E27-D27)/ABS(D27)</f>
        <v/>
      </c>
      <c r="F32" s="141">
        <f>(F27-E27)/ABS(E27)</f>
        <v/>
      </c>
      <c r="G32" s="141">
        <f>(G27-F27)/ABS(F27)</f>
        <v/>
      </c>
      <c r="H32" s="141">
        <f>(H27-G27)/ABS(G27)</f>
        <v/>
      </c>
      <c r="I32" s="141">
        <f>(I27-H27)/ABS(H27)</f>
        <v/>
      </c>
    </row>
    <row r="34" ht="15" customHeight="1" s="108">
      <c r="B34" s="113" t="inlineStr">
        <is>
          <t>REFERENCIAS (para EPV)</t>
        </is>
      </c>
      <c r="C34" s="109" t="n"/>
      <c r="D34" s="109" t="n"/>
      <c r="E34" s="109" t="n"/>
      <c r="F34" s="109" t="n"/>
      <c r="G34" s="109" t="n"/>
      <c r="H34" s="109" t="n"/>
      <c r="I34" s="109" t="n"/>
      <c r="J34" s="109" t="n"/>
    </row>
    <row r="35" ht="15" customHeight="1" s="108">
      <c r="B35" s="132" t="inlineStr">
        <is>
          <t>D&amp;A (Full Company)</t>
        </is>
      </c>
      <c r="D35" s="121">
        <f>'2. IS'!C23</f>
        <v/>
      </c>
      <c r="E35" s="121">
        <f>'2. IS'!D23</f>
        <v/>
      </c>
      <c r="F35" s="121">
        <f>'2. IS'!E23</f>
        <v/>
      </c>
      <c r="G35" s="121">
        <f>'2. IS'!F23</f>
        <v/>
      </c>
      <c r="H35" s="121">
        <f>'2. IS'!G23</f>
        <v/>
      </c>
      <c r="I35" s="121">
        <f>'2. IS'!H23</f>
        <v/>
      </c>
      <c r="J35" s="150">
        <f>I35</f>
        <v/>
      </c>
    </row>
    <row r="36" ht="15" customHeight="1" s="108">
      <c r="B36" s="132" t="inlineStr">
        <is>
          <t>CapEx</t>
        </is>
      </c>
      <c r="D36" s="121">
        <f>-'4. CF'!C13</f>
        <v/>
      </c>
      <c r="E36" s="121">
        <f>-'4. CF'!D13</f>
        <v/>
      </c>
      <c r="F36" s="121">
        <f>-'4. CF'!E13</f>
        <v/>
      </c>
      <c r="G36" s="121">
        <f>-'4. CF'!F13</f>
        <v/>
      </c>
      <c r="H36" s="121">
        <f>-'4. CF'!G13</f>
        <v/>
      </c>
      <c r="I36" s="121">
        <f>-'4. CF'!H13</f>
        <v/>
      </c>
      <c r="J36" s="150">
        <f>I36</f>
        <v/>
      </c>
    </row>
    <row r="38" ht="15" customHeight="1" s="108">
      <c r="B38" s="158" t="inlineStr">
        <is>
          <t>SBC Rule (DP #5): SBC ~€6M en 2025 ya está dentro de SG&amp;A/Personnel. NO requiere add-back en NOPAT. Confirmado en footnote 20-F.</t>
        </is>
      </c>
    </row>
    <row r="40" ht="15" customHeight="1" s="108">
      <c r="B40" s="146" t="inlineStr">
        <is>
          <t>Source: Ferrari 20-F + S&amp;M/R&amp;D Cap sheets | EUR Millions | DCE Holdings</t>
        </is>
      </c>
    </row>
  </sheetData>
  <mergeCells count="9">
    <mergeCell ref="B3:J3"/>
    <mergeCell ref="C7:J7"/>
    <mergeCell ref="D9:J9"/>
    <mergeCell ref="D6:J6"/>
    <mergeCell ref="B40:J40"/>
    <mergeCell ref="C8:J8"/>
    <mergeCell ref="D10:J10"/>
    <mergeCell ref="B38:J38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B2:G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40" customWidth="1" style="107" min="2" max="2"/>
    <col width="16" customWidth="1" style="107" min="3" max="5"/>
    <col width="40" customWidth="1" style="107" min="6" max="6"/>
  </cols>
  <sheetData>
    <row r="2" ht="15" customHeight="1" s="108">
      <c r="B2" s="127" t="inlineStr">
        <is>
          <t>EPV — EARNINGS POWER VALUE — Ferrari N.V. (NYSE: RACE) | DCE Holdings</t>
        </is>
      </c>
    </row>
    <row r="3" ht="15" customHeight="1" s="108">
      <c r="B3" s="128" t="inlineStr">
        <is>
          <t>Valor de la capacidad de generación de utilidades en escenario zero-growth | WACC ~ 8%</t>
        </is>
      </c>
    </row>
    <row r="5" ht="15" customHeight="1" s="108">
      <c r="B5" s="113" t="inlineStr">
        <is>
          <t>SECCIÓN 1: WACC</t>
        </is>
      </c>
    </row>
    <row r="6" ht="15" customHeight="1" s="108">
      <c r="B6" s="132" t="inlineStr">
        <is>
          <t>Risk-Free Rate (Rf)</t>
        </is>
      </c>
      <c r="C6" s="181" t="n">
        <v>0.025</v>
      </c>
      <c r="D6" s="158" t="inlineStr">
        <is>
          <t>DP#11 — Bund 10Y proxy</t>
        </is>
      </c>
    </row>
    <row r="7" ht="15" customHeight="1" s="108">
      <c r="B7" s="132" t="inlineStr">
        <is>
          <t>Beta</t>
        </is>
      </c>
      <c r="C7" s="182" t="n">
        <v>1</v>
      </c>
      <c r="D7" s="158" t="inlineStr">
        <is>
          <t>DP#11 — luxury cyclicality moderate</t>
        </is>
      </c>
    </row>
    <row r="8" ht="15" customHeight="1" s="108">
      <c r="B8" s="132" t="inlineStr">
        <is>
          <t>Equity Risk Premium (ERP)</t>
        </is>
      </c>
      <c r="C8" s="181" t="n">
        <v>0.055</v>
      </c>
      <c r="D8" s="158" t="inlineStr">
        <is>
          <t>DP#11 — Damodaran ERP Europe</t>
        </is>
      </c>
    </row>
    <row r="9" ht="15" customHeight="1" s="108">
      <c r="B9" s="183" t="inlineStr">
        <is>
          <t>Cost of Equity (Ke)</t>
        </is>
      </c>
      <c r="C9" s="184">
        <f>C6+C7*C8</f>
        <v/>
      </c>
      <c r="D9" s="185" t="inlineStr">
        <is>
          <t>Ke = Rf + Beta × ERP</t>
        </is>
      </c>
      <c r="E9" s="175" t="n"/>
      <c r="F9" s="175" t="n"/>
    </row>
    <row r="10" ht="15" customHeight="1" s="108">
      <c r="B10" s="132" t="inlineStr">
        <is>
          <t>Cost of Debt pre-tax (Kd)</t>
        </is>
      </c>
      <c r="C10" s="181" t="n">
        <v>0.035</v>
      </c>
      <c r="D10" s="158" t="inlineStr">
        <is>
          <t>DP#11 — Ferrari IG corporate bond yield</t>
        </is>
      </c>
    </row>
    <row r="11" ht="15" customHeight="1" s="108">
      <c r="B11" s="132" t="inlineStr">
        <is>
          <t>Tax Rate</t>
        </is>
      </c>
      <c r="C11" s="186">
        <f>'9. NOPAT'!C6</f>
        <v/>
      </c>
      <c r="D11" s="158" t="inlineStr">
        <is>
          <t>Link a NOPAT (DP#8 = 20.5%)</t>
        </is>
      </c>
    </row>
    <row r="12" ht="15" customHeight="1" s="108">
      <c r="B12" s="132" t="inlineStr">
        <is>
          <t>Cost of Debt post-tax (Kd_aftertax)</t>
        </is>
      </c>
      <c r="C12" s="187">
        <f>C10*(1-C11)</f>
        <v/>
      </c>
      <c r="D12" s="158" t="inlineStr">
        <is>
          <t>Kd × (1 − Tax)</t>
        </is>
      </c>
    </row>
    <row r="13" ht="15" customHeight="1" s="108">
      <c r="B13" s="132" t="inlineStr">
        <is>
          <t>E / (D+E)</t>
        </is>
      </c>
      <c r="C13" s="141">
        <f>'1. Overview'!C19/('1. Overview'!C19+'1. Overview'!C20+'1. Overview'!C21)</f>
        <v/>
      </c>
      <c r="D13" s="158" t="inlineStr">
        <is>
          <t>Equity weight (mkt)</t>
        </is>
      </c>
    </row>
    <row r="14" ht="15" customHeight="1" s="108">
      <c r="B14" s="132" t="inlineStr">
        <is>
          <t>D / (D+E)</t>
        </is>
      </c>
      <c r="C14" s="141">
        <f>1-C13</f>
        <v/>
      </c>
      <c r="D14" s="158" t="inlineStr">
        <is>
          <t>Debt weight (mkt)</t>
        </is>
      </c>
    </row>
    <row r="15" ht="15" customHeight="1" s="108">
      <c r="B15" s="188" t="inlineStr">
        <is>
          <t>WACC</t>
        </is>
      </c>
      <c r="C15" s="189">
        <f>C9*C13+C12*C14</f>
        <v/>
      </c>
      <c r="D15" s="190" t="inlineStr">
        <is>
          <t>WACC = Ke·E/(D+E) + Kd_after·D/(D+E)</t>
        </is>
      </c>
      <c r="E15" s="163" t="n"/>
      <c r="F15" s="163" t="n"/>
    </row>
    <row r="17" ht="15" customHeight="1" s="108">
      <c r="B17" s="113" t="inlineStr">
        <is>
          <t>SECCIÓN 2: CÁLCULO EPV</t>
        </is>
      </c>
    </row>
    <row r="18" ht="15" customHeight="1" s="108">
      <c r="B18" s="132" t="inlineStr">
        <is>
          <t>Adj. Operating Income Normalizado (pre-tax)</t>
        </is>
      </c>
      <c r="C18" s="121">
        <f>'9. NOPAT'!J25</f>
        <v/>
      </c>
      <c r="D18" s="158" t="inlineStr">
        <is>
          <t>Link NOPAT J25 — UOA pre-tax norm.</t>
        </is>
      </c>
    </row>
    <row r="19" ht="15" customHeight="1" s="108">
      <c r="B19" s="132" t="inlineStr">
        <is>
          <t>× (1 − Tax Rate)</t>
        </is>
      </c>
      <c r="C19" s="187">
        <f>1-C11</f>
        <v/>
      </c>
    </row>
    <row r="20" ht="15" customHeight="1" s="108">
      <c r="B20" s="183" t="inlineStr">
        <is>
          <t>NOPAT Normalizado</t>
        </is>
      </c>
      <c r="C20" s="120">
        <f>C18*C19</f>
        <v/>
      </c>
      <c r="D20" s="185" t="inlineStr">
        <is>
          <t>UOA × (1 − Tax) — link J27 (cross-check)</t>
        </is>
      </c>
      <c r="E20" s="175" t="n"/>
      <c r="F20" s="175" t="n"/>
    </row>
    <row r="21" ht="15" customHeight="1" s="108">
      <c r="B21" s="132" t="inlineStr">
        <is>
          <t>(+) D&amp;A (full company)</t>
        </is>
      </c>
      <c r="C21" s="121">
        <f>'2. IS'!H23</f>
        <v/>
      </c>
      <c r="D21" s="158" t="inlineStr">
        <is>
          <t>Non-cash addback</t>
        </is>
      </c>
    </row>
    <row r="22" ht="15" customHeight="1" s="108">
      <c r="B22" s="132" t="inlineStr">
        <is>
          <t>(−) Maintenance CapEx (Zero-Growth)</t>
        </is>
      </c>
      <c r="C22" s="133" t="n">
        <v>700</v>
      </c>
      <c r="D22" s="158" t="inlineStr">
        <is>
          <t>Default = D&amp;A (€662M); ajustado a €700M para mantenimiento real (e-building es growth)</t>
        </is>
      </c>
    </row>
    <row r="23" ht="15" customHeight="1" s="108">
      <c r="B23" s="188" t="inlineStr">
        <is>
          <t>EPV Operaciones = (NOPAT + D&amp;A − Maint CapEx) / WACC</t>
        </is>
      </c>
      <c r="C23" s="138">
        <f>(C20+C21-C22)/C15</f>
        <v/>
      </c>
      <c r="D23" s="190" t="inlineStr">
        <is>
          <t>Enterprise value of earnings power</t>
        </is>
      </c>
      <c r="E23" s="163" t="n"/>
      <c r="F23" s="163" t="n"/>
    </row>
    <row r="25" ht="15" customHeight="1" s="108">
      <c r="B25" s="132" t="inlineStr">
        <is>
          <t>(+) Excess Cash (Cash + STI − €500M operating buffer)</t>
        </is>
      </c>
      <c r="C25" s="150">
        <f>'3. BS'!H7-500</f>
        <v/>
      </c>
      <c r="D25" s="158" t="inlineStr">
        <is>
          <t>DP#10: €500M buffer (≈7% revenue)</t>
        </is>
      </c>
    </row>
    <row r="26" ht="15" customHeight="1" s="108">
      <c r="B26" s="132" t="inlineStr">
        <is>
          <t>(+) Non-Operating Assets (FS receivables, net)</t>
        </is>
      </c>
      <c r="C26" s="150">
        <f>'3. BS'!H16*0.5</f>
        <v/>
      </c>
      <c r="D26" s="158" t="inlineStr">
        <is>
          <t>DP#10: 50% of LT FS receivables (financing arm)</t>
        </is>
      </c>
    </row>
    <row r="27" ht="15" customHeight="1" s="108">
      <c r="B27" s="132" t="inlineStr">
        <is>
          <t>(−) Total Debt</t>
        </is>
      </c>
      <c r="C27" s="121">
        <f>-'3. BS'!H44</f>
        <v/>
      </c>
    </row>
    <row r="28" ht="15" customHeight="1" s="108">
      <c r="B28" s="132" t="inlineStr">
        <is>
          <t>(−) Lease Liabilities</t>
        </is>
      </c>
      <c r="C28" s="121">
        <f>-'3. BS'!H30</f>
        <v/>
      </c>
    </row>
    <row r="29" ht="15" customHeight="1" s="108">
      <c r="B29" s="132" t="inlineStr">
        <is>
          <t>(−) Minority Interest</t>
        </is>
      </c>
      <c r="C29" s="133" t="n">
        <v>0</v>
      </c>
      <c r="D29" s="158" t="inlineStr">
        <is>
          <t>No minority interest reported</t>
        </is>
      </c>
    </row>
    <row r="30" ht="15" customHeight="1" s="108">
      <c r="B30" s="183" t="inlineStr">
        <is>
          <t>EPV Equity (€M)</t>
        </is>
      </c>
      <c r="C30" s="120">
        <f>C23+C25+C26+C27+C28+C29</f>
        <v/>
      </c>
      <c r="D30" s="175" t="n"/>
      <c r="E30" s="175" t="n"/>
      <c r="F30" s="175" t="n"/>
    </row>
    <row r="31" ht="15" customHeight="1" s="108">
      <c r="B31" s="132" t="inlineStr">
        <is>
          <t>Acciones Diluidas (M)</t>
        </is>
      </c>
      <c r="C31" s="173">
        <f>'2. IS'!H31</f>
        <v/>
      </c>
    </row>
    <row r="32" ht="15" customHeight="1" s="108">
      <c r="B32" s="188" t="inlineStr">
        <is>
          <t>EPV por Acción (€)</t>
        </is>
      </c>
      <c r="C32" s="191">
        <f>C30/C31</f>
        <v/>
      </c>
      <c r="D32" s="163" t="n"/>
      <c r="E32" s="163" t="n"/>
      <c r="F32" s="163" t="n"/>
    </row>
    <row r="34" ht="15" customHeight="1" s="108">
      <c r="B34" s="113" t="inlineStr">
        <is>
          <t>SECCIÓN 3: BRIDGE EPV OPERACIONES → EQUITY EPV</t>
        </is>
      </c>
    </row>
    <row r="35" ht="15" customHeight="1" s="108">
      <c r="B35" s="132" t="inlineStr">
        <is>
          <t>Precio Actual (€)</t>
        </is>
      </c>
      <c r="C35" s="124">
        <f>'1. Overview'!C17</f>
        <v/>
      </c>
    </row>
    <row r="36" ht="15" customHeight="1" s="108">
      <c r="B36" s="132" t="inlineStr">
        <is>
          <t>EPV / Acción (€)</t>
        </is>
      </c>
      <c r="C36" s="152">
        <f>C32</f>
        <v/>
      </c>
    </row>
    <row r="37" ht="15" customHeight="1" s="108">
      <c r="B37" s="183" t="inlineStr">
        <is>
          <t>Descuento / (Prima) = (EPV − Precio) / EPV</t>
        </is>
      </c>
      <c r="C37" s="192">
        <f>(C36-C35)/C36</f>
        <v/>
      </c>
      <c r="D37" s="175" t="n"/>
      <c r="E37" s="175" t="n"/>
      <c r="F37" s="175" t="n"/>
    </row>
    <row r="39" ht="15" customHeight="1" s="108">
      <c r="B39" s="193" t="inlineStr">
        <is>
          <t>SENSIBILIDAD EPV / Acción — WACC (filas) × Margen Op Normalizado (cols)</t>
        </is>
      </c>
    </row>
    <row r="40" ht="15" customHeight="1" s="108">
      <c r="B40" s="129" t="inlineStr">
        <is>
          <t>WACC \ Margen Op</t>
        </is>
      </c>
      <c r="C40" s="194" t="n">
        <v>0.23</v>
      </c>
      <c r="D40" s="194" t="n">
        <v>0.25</v>
      </c>
      <c r="E40" s="194" t="n">
        <v>0.27</v>
      </c>
      <c r="F40" s="194" t="n">
        <v>0.29</v>
      </c>
      <c r="G40" s="194" t="n">
        <v>0.31</v>
      </c>
    </row>
    <row r="41" ht="15" customHeight="1" s="108">
      <c r="B41" s="195" t="n">
        <v>0.07000000000000001</v>
      </c>
      <c r="C41" s="152">
        <f>(('9. NOPAT'!$C$9*0.23*(1-$C$11)+$C$21-$C$22)/0.07+$C$25+$C$26+$C$27+$C$28+$C$29)/$C$31</f>
        <v/>
      </c>
      <c r="D41" s="152">
        <f>(('9. NOPAT'!$C$9*0.25*(1-$C$11)+$C$21-$C$22)/0.07+$C$25+$C$26+$C$27+$C$28+$C$29)/$C$31</f>
        <v/>
      </c>
      <c r="E41" s="152">
        <f>(('9. NOPAT'!$C$9*0.27*(1-$C$11)+$C$21-$C$22)/0.07+$C$25+$C$26+$C$27+$C$28+$C$29)/$C$31</f>
        <v/>
      </c>
      <c r="F41" s="152">
        <f>(('9. NOPAT'!$C$9*0.29*(1-$C$11)+$C$21-$C$22)/0.07+$C$25+$C$26+$C$27+$C$28+$C$29)/$C$31</f>
        <v/>
      </c>
      <c r="G41" s="152">
        <f>(('9. NOPAT'!$C$9*0.31*(1-$C$11)+$C$21-$C$22)/0.07+$C$25+$C$26+$C$27+$C$28+$C$29)/$C$31</f>
        <v/>
      </c>
    </row>
    <row r="42" ht="15" customHeight="1" s="108">
      <c r="B42" s="195" t="n">
        <v>0.075</v>
      </c>
      <c r="C42" s="152">
        <f>(('9. NOPAT'!$C$9*0.23*(1-$C$11)+$C$21-$C$22)/0.075+$C$25+$C$26+$C$27+$C$28+$C$29)/$C$31</f>
        <v/>
      </c>
      <c r="D42" s="152">
        <f>(('9. NOPAT'!$C$9*0.25*(1-$C$11)+$C$21-$C$22)/0.075+$C$25+$C$26+$C$27+$C$28+$C$29)/$C$31</f>
        <v/>
      </c>
      <c r="E42" s="152">
        <f>(('9. NOPAT'!$C$9*0.27*(1-$C$11)+$C$21-$C$22)/0.075+$C$25+$C$26+$C$27+$C$28+$C$29)/$C$31</f>
        <v/>
      </c>
      <c r="F42" s="152">
        <f>(('9. NOPAT'!$C$9*0.29*(1-$C$11)+$C$21-$C$22)/0.075+$C$25+$C$26+$C$27+$C$28+$C$29)/$C$31</f>
        <v/>
      </c>
      <c r="G42" s="152">
        <f>(('9. NOPAT'!$C$9*0.31*(1-$C$11)+$C$21-$C$22)/0.075+$C$25+$C$26+$C$27+$C$28+$C$29)/$C$31</f>
        <v/>
      </c>
    </row>
    <row r="43" ht="15" customHeight="1" s="108">
      <c r="B43" s="195" t="n">
        <v>0.08</v>
      </c>
      <c r="C43" s="152">
        <f>(('9. NOPAT'!$C$9*0.23*(1-$C$11)+$C$21-$C$22)/0.08+$C$25+$C$26+$C$27+$C$28+$C$29)/$C$31</f>
        <v/>
      </c>
      <c r="D43" s="152">
        <f>(('9. NOPAT'!$C$9*0.25*(1-$C$11)+$C$21-$C$22)/0.08+$C$25+$C$26+$C$27+$C$28+$C$29)/$C$31</f>
        <v/>
      </c>
      <c r="E43" s="152">
        <f>(('9. NOPAT'!$C$9*0.27*(1-$C$11)+$C$21-$C$22)/0.08+$C$25+$C$26+$C$27+$C$28+$C$29)/$C$31</f>
        <v/>
      </c>
      <c r="F43" s="152">
        <f>(('9. NOPAT'!$C$9*0.29*(1-$C$11)+$C$21-$C$22)/0.08+$C$25+$C$26+$C$27+$C$28+$C$29)/$C$31</f>
        <v/>
      </c>
      <c r="G43" s="152">
        <f>(('9. NOPAT'!$C$9*0.31*(1-$C$11)+$C$21-$C$22)/0.08+$C$25+$C$26+$C$27+$C$28+$C$29)/$C$31</f>
        <v/>
      </c>
    </row>
    <row r="44" ht="15" customHeight="1" s="108">
      <c r="B44" s="195" t="n">
        <v>0.08500000000000001</v>
      </c>
      <c r="C44" s="152">
        <f>(('9. NOPAT'!$C$9*0.23*(1-$C$11)+$C$21-$C$22)/0.085+$C$25+$C$26+$C$27+$C$28+$C$29)/$C$31</f>
        <v/>
      </c>
      <c r="D44" s="152">
        <f>(('9. NOPAT'!$C$9*0.25*(1-$C$11)+$C$21-$C$22)/0.085+$C$25+$C$26+$C$27+$C$28+$C$29)/$C$31</f>
        <v/>
      </c>
      <c r="E44" s="152">
        <f>(('9. NOPAT'!$C$9*0.27*(1-$C$11)+$C$21-$C$22)/0.085+$C$25+$C$26+$C$27+$C$28+$C$29)/$C$31</f>
        <v/>
      </c>
      <c r="F44" s="152">
        <f>(('9. NOPAT'!$C$9*0.29*(1-$C$11)+$C$21-$C$22)/0.085+$C$25+$C$26+$C$27+$C$28+$C$29)/$C$31</f>
        <v/>
      </c>
      <c r="G44" s="152">
        <f>(('9. NOPAT'!$C$9*0.31*(1-$C$11)+$C$21-$C$22)/0.085+$C$25+$C$26+$C$27+$C$28+$C$29)/$C$31</f>
        <v/>
      </c>
    </row>
    <row r="45" ht="15" customHeight="1" s="108">
      <c r="B45" s="195" t="n">
        <v>0.09</v>
      </c>
      <c r="C45" s="152">
        <f>(('9. NOPAT'!$C$9*0.23*(1-$C$11)+$C$21-$C$22)/0.09+$C$25+$C$26+$C$27+$C$28+$C$29)/$C$31</f>
        <v/>
      </c>
      <c r="D45" s="152">
        <f>(('9. NOPAT'!$C$9*0.25*(1-$C$11)+$C$21-$C$22)/0.09+$C$25+$C$26+$C$27+$C$28+$C$29)/$C$31</f>
        <v/>
      </c>
      <c r="E45" s="152">
        <f>(('9. NOPAT'!$C$9*0.27*(1-$C$11)+$C$21-$C$22)/0.09+$C$25+$C$26+$C$27+$C$28+$C$29)/$C$31</f>
        <v/>
      </c>
      <c r="F45" s="152">
        <f>(('9. NOPAT'!$C$9*0.29*(1-$C$11)+$C$21-$C$22)/0.09+$C$25+$C$26+$C$27+$C$28+$C$29)/$C$31</f>
        <v/>
      </c>
      <c r="G45" s="152">
        <f>(('9. NOPAT'!$C$9*0.31*(1-$C$11)+$C$21-$C$22)/0.09+$C$25+$C$26+$C$27+$C$28+$C$29)/$C$31</f>
        <v/>
      </c>
    </row>
    <row r="47" ht="15" customHeight="1" s="108">
      <c r="B47" s="146" t="inlineStr">
        <is>
          <t>Source: NOPAT Normalizado + EPV formula | DCE Holdings | 22-May-2026</t>
        </is>
      </c>
    </row>
  </sheetData>
  <mergeCells count="7">
    <mergeCell ref="B39:F39"/>
    <mergeCell ref="B47:F47"/>
    <mergeCell ref="B2:F2"/>
    <mergeCell ref="B34:F34"/>
    <mergeCell ref="B3:F3"/>
    <mergeCell ref="B5:F5"/>
    <mergeCell ref="B17:F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833C00"/>
    <outlinePr summaryBelow="1" summaryRight="1"/>
    <pageSetUpPr fitToPage="0"/>
  </sheetPr>
  <dimension ref="B2:H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42" customWidth="1" style="107" min="2" max="2"/>
    <col width="13" customWidth="1" style="107" min="3" max="8"/>
    <col width="40" customWidth="1" style="107" min="9" max="9"/>
  </cols>
  <sheetData>
    <row r="2" ht="15" customHeight="1" s="108">
      <c r="B2" s="127" t="inlineStr">
        <is>
          <t>ROIC — RETURN ON INVESTED CAPITAL — Ferrari N.V. (NYSE: RACE) | DCE Holdings</t>
        </is>
      </c>
    </row>
    <row r="3" ht="15" customHeight="1" s="108">
      <c r="B3" s="128" t="inlineStr">
        <is>
          <t>3 secciones: (1) ROIC Contable | (2) Marginal ROIC (Δ) | (3) Marginal Growth CapEx | N/M guard activado</t>
        </is>
      </c>
    </row>
    <row r="5" ht="15" customHeight="1" s="108">
      <c r="B5" s="113" t="inlineStr">
        <is>
          <t>SECCIÓN 1: ROIC CONTABLE</t>
        </is>
      </c>
    </row>
    <row r="6" ht="15" customHeight="1" s="108">
      <c r="B6" s="129" t="inlineStr">
        <is>
          <t>CONCEPTO (€M)</t>
        </is>
      </c>
      <c r="C6" s="129" t="inlineStr">
        <is>
          <t>FY 2020</t>
        </is>
      </c>
      <c r="D6" s="129" t="inlineStr">
        <is>
          <t>FY 2021</t>
        </is>
      </c>
      <c r="E6" s="129" t="inlineStr">
        <is>
          <t>FY 2022</t>
        </is>
      </c>
      <c r="F6" s="129" t="inlineStr">
        <is>
          <t>FY 2023</t>
        </is>
      </c>
      <c r="G6" s="129" t="inlineStr">
        <is>
          <t>FY 2024</t>
        </is>
      </c>
      <c r="H6" s="129" t="inlineStr">
        <is>
          <t>FY 2025</t>
        </is>
      </c>
    </row>
    <row r="7" ht="15" customHeight="1" s="108">
      <c r="B7" s="132" t="inlineStr">
        <is>
          <t>NOPAT Ajustado</t>
        </is>
      </c>
      <c r="C7" s="121">
        <f>'9. NOPAT'!D27</f>
        <v/>
      </c>
      <c r="D7" s="121">
        <f>'9. NOPAT'!E27</f>
        <v/>
      </c>
      <c r="E7" s="121">
        <f>'9. NOPAT'!F27</f>
        <v/>
      </c>
      <c r="F7" s="121">
        <f>'9. NOPAT'!G27</f>
        <v/>
      </c>
      <c r="G7" s="121">
        <f>'9. NOPAT'!H27</f>
        <v/>
      </c>
      <c r="H7" s="121">
        <f>'9. NOPAT'!I27</f>
        <v/>
      </c>
    </row>
    <row r="9" ht="15" customHeight="1" s="108">
      <c r="B9" s="183" t="inlineStr">
        <is>
          <t>CAPITAL INVERTIDO:</t>
        </is>
      </c>
      <c r="C9" s="175" t="n"/>
      <c r="D9" s="175" t="n"/>
      <c r="E9" s="175" t="n"/>
      <c r="F9" s="175" t="n"/>
      <c r="G9" s="175" t="n"/>
      <c r="H9" s="175" t="n"/>
    </row>
    <row r="10" ht="15" customHeight="1" s="108">
      <c r="B10" s="132" t="inlineStr">
        <is>
          <t>Operating Working Capital</t>
        </is>
      </c>
      <c r="C10" s="150">
        <f>('3. BS'!C11-'3. BS'!C7)-('3. BS'!C27-'3. BS'!C24)</f>
        <v/>
      </c>
      <c r="D10" s="150">
        <f>('3. BS'!D11-'3. BS'!D7)-('3. BS'!D27-'3. BS'!D24)</f>
        <v/>
      </c>
      <c r="E10" s="150">
        <f>('3. BS'!E11-'3. BS'!E7)-('3. BS'!E27-'3. BS'!E24)</f>
        <v/>
      </c>
      <c r="F10" s="150">
        <f>('3. BS'!F11-'3. BS'!F7)-('3. BS'!F27-'3. BS'!F24)</f>
        <v/>
      </c>
      <c r="G10" s="150">
        <f>('3. BS'!G11-'3. BS'!G7)-('3. BS'!G27-'3. BS'!G24)</f>
        <v/>
      </c>
      <c r="H10" s="150">
        <f>('3. BS'!H11-'3. BS'!H7)-('3. BS'!H27-'3. BS'!H24)</f>
        <v/>
      </c>
    </row>
    <row r="11" ht="15" customHeight="1" s="108">
      <c r="B11" s="132" t="inlineStr">
        <is>
          <t>(+) Property, Plant and Equipment, Net</t>
        </is>
      </c>
      <c r="C11" s="121">
        <f>'3. BS'!C13</f>
        <v/>
      </c>
      <c r="D11" s="121">
        <f>'3. BS'!D13</f>
        <v/>
      </c>
      <c r="E11" s="121">
        <f>'3. BS'!E13</f>
        <v/>
      </c>
      <c r="F11" s="121">
        <f>'3. BS'!F13</f>
        <v/>
      </c>
      <c r="G11" s="121">
        <f>'3. BS'!G13</f>
        <v/>
      </c>
      <c r="H11" s="121">
        <f>'3. BS'!H13</f>
        <v/>
      </c>
    </row>
    <row r="12" ht="15" customHeight="1" s="108">
      <c r="B12" s="132" t="inlineStr">
        <is>
          <t>(+) Other LT Operating Assets (intangibles ex-Goodwill)</t>
        </is>
      </c>
      <c r="C12" s="121">
        <f>'3. BS'!C15</f>
        <v/>
      </c>
      <c r="D12" s="121">
        <f>'3. BS'!D15</f>
        <v/>
      </c>
      <c r="E12" s="121">
        <f>'3. BS'!E15</f>
        <v/>
      </c>
      <c r="F12" s="121">
        <f>'3. BS'!F15</f>
        <v/>
      </c>
      <c r="G12" s="121">
        <f>'3. BS'!G15</f>
        <v/>
      </c>
      <c r="H12" s="121">
        <f>'3. BS'!H15</f>
        <v/>
      </c>
    </row>
    <row r="13" ht="15" customHeight="1" s="108">
      <c r="B13" s="132" t="inlineStr">
        <is>
          <t>(+) S&amp;M Asset (Unamortized)</t>
        </is>
      </c>
      <c r="C13" s="133" t="n">
        <v>0</v>
      </c>
      <c r="D13" s="121">
        <f>'6. S&amp;M Cap'!C33</f>
        <v/>
      </c>
      <c r="E13" s="121">
        <f>'6. S&amp;M Cap'!D33</f>
        <v/>
      </c>
      <c r="F13" s="121">
        <f>'6. S&amp;M Cap'!E33</f>
        <v/>
      </c>
      <c r="G13" s="121">
        <f>'6. S&amp;M Cap'!F33</f>
        <v/>
      </c>
      <c r="H13" s="121">
        <f>'6. S&amp;M Cap'!G33</f>
        <v/>
      </c>
    </row>
    <row r="14" ht="15" customHeight="1" s="108">
      <c r="B14" s="132" t="inlineStr">
        <is>
          <t>(+) R&amp;D Asset (Unamortized)</t>
        </is>
      </c>
      <c r="C14" s="133" t="n">
        <v>0</v>
      </c>
      <c r="D14" s="121">
        <f>'7. R&amp;D Cap'!C33</f>
        <v/>
      </c>
      <c r="E14" s="121">
        <f>'7. R&amp;D Cap'!D33</f>
        <v/>
      </c>
      <c r="F14" s="121">
        <f>'7. R&amp;D Cap'!E33</f>
        <v/>
      </c>
      <c r="G14" s="121">
        <f>'7. R&amp;D Cap'!F33</f>
        <v/>
      </c>
      <c r="H14" s="121">
        <f>'7. R&amp;D Cap'!G33</f>
        <v/>
      </c>
    </row>
    <row r="15" ht="15" customHeight="1" s="108">
      <c r="B15" s="183" t="inlineStr">
        <is>
          <t>Invested Capital (Total)</t>
        </is>
      </c>
      <c r="C15" s="120">
        <f>SUM(C10:C14)</f>
        <v/>
      </c>
      <c r="D15" s="120">
        <f>SUM(D10:D14)</f>
        <v/>
      </c>
      <c r="E15" s="120">
        <f>SUM(E10:E14)</f>
        <v/>
      </c>
      <c r="F15" s="120">
        <f>SUM(F10:F14)</f>
        <v/>
      </c>
      <c r="G15" s="120">
        <f>SUM(G10:G14)</f>
        <v/>
      </c>
      <c r="H15" s="120">
        <f>SUM(H10:H14)</f>
        <v/>
      </c>
    </row>
    <row r="17" ht="15" customHeight="1" s="108">
      <c r="B17" s="188" t="inlineStr">
        <is>
          <t>ROIC (NOPAT / Invested Capital)</t>
        </is>
      </c>
      <c r="C17" s="196">
        <f>IF(C15&lt;0,"N/M",IF(C15=0,0,C7/C15))</f>
        <v/>
      </c>
      <c r="D17" s="196">
        <f>IF(D15&lt;0,"N/M",IF(D15=0,0,D7/D15))</f>
        <v/>
      </c>
      <c r="E17" s="196">
        <f>IF(E15&lt;0,"N/M",IF(E15=0,0,E7/E15))</f>
        <v/>
      </c>
      <c r="F17" s="196">
        <f>IF(F15&lt;0,"N/M",IF(F15=0,0,F7/F15))</f>
        <v/>
      </c>
      <c r="G17" s="196">
        <f>IF(G15&lt;0,"N/M",IF(G15=0,0,G7/G15))</f>
        <v/>
      </c>
      <c r="H17" s="196">
        <f>IF(H15&lt;0,"N/M",IF(H15=0,0,H7/H15))</f>
        <v/>
      </c>
    </row>
    <row r="18" ht="15" customHeight="1" s="108">
      <c r="B18" s="132" t="inlineStr">
        <is>
          <t>Spread vs WACC (ROIC − WACC)</t>
        </is>
      </c>
      <c r="C18" s="141">
        <f>IF(ISTEXT(C17),"N/M",C17-'10. EPV'!$C$15)</f>
        <v/>
      </c>
      <c r="D18" s="141">
        <f>IF(ISTEXT(D17),"N/M",D17-'10. EPV'!$C$15)</f>
        <v/>
      </c>
      <c r="E18" s="141">
        <f>IF(ISTEXT(E17),"N/M",E17-'10. EPV'!$C$15)</f>
        <v/>
      </c>
      <c r="F18" s="141">
        <f>IF(ISTEXT(F17),"N/M",F17-'10. EPV'!$C$15)</f>
        <v/>
      </c>
      <c r="G18" s="141">
        <f>IF(ISTEXT(G17),"N/M",G17-'10. EPV'!$C$15)</f>
        <v/>
      </c>
      <c r="H18" s="141">
        <f>IF(ISTEXT(H17),"N/M",H17-'10. EPV'!$C$15)</f>
        <v/>
      </c>
    </row>
    <row r="19" ht="15" customHeight="1" s="108">
      <c r="B19" s="132" t="inlineStr">
        <is>
          <t>Reference: WACC</t>
        </is>
      </c>
      <c r="C19" s="186">
        <f>'10. EPV'!C15</f>
        <v/>
      </c>
    </row>
    <row r="21" ht="15" customHeight="1" s="108">
      <c r="B21" s="197" t="inlineStr">
        <is>
          <t>— — — — — — — — — — — — — — —</t>
        </is>
      </c>
    </row>
    <row r="23" ht="15" customHeight="1" s="108">
      <c r="B23" s="113" t="inlineStr">
        <is>
          <t>SECCIÓN 2: MARGINAL ROIC (DELTAS)</t>
        </is>
      </c>
    </row>
    <row r="24" ht="15" customHeight="1" s="108">
      <c r="B24" s="129" t="inlineStr">
        <is>
          <t>CONCEPTO (€M)</t>
        </is>
      </c>
      <c r="C24" s="129" t="inlineStr">
        <is>
          <t>FY 2020</t>
        </is>
      </c>
      <c r="D24" s="129" t="inlineStr">
        <is>
          <t>FY 2021</t>
        </is>
      </c>
      <c r="E24" s="129" t="inlineStr">
        <is>
          <t>FY 2022</t>
        </is>
      </c>
      <c r="F24" s="129" t="inlineStr">
        <is>
          <t>FY 2023</t>
        </is>
      </c>
      <c r="G24" s="129" t="inlineStr">
        <is>
          <t>FY 2024</t>
        </is>
      </c>
      <c r="H24" s="129" t="inlineStr">
        <is>
          <t>FY 2025</t>
        </is>
      </c>
    </row>
    <row r="25" ht="15" customHeight="1" s="108">
      <c r="B25" s="132" t="inlineStr">
        <is>
          <t>ΔNOPAT</t>
        </is>
      </c>
      <c r="C25" s="156" t="inlineStr">
        <is>
          <t>N/A</t>
        </is>
      </c>
      <c r="D25" s="150">
        <f>D7-C7</f>
        <v/>
      </c>
      <c r="E25" s="150">
        <f>E7-D7</f>
        <v/>
      </c>
      <c r="F25" s="150">
        <f>F7-E7</f>
        <v/>
      </c>
      <c r="G25" s="150">
        <f>G7-F7</f>
        <v/>
      </c>
      <c r="H25" s="150">
        <f>H7-G7</f>
        <v/>
      </c>
    </row>
    <row r="26" ht="15" customHeight="1" s="108">
      <c r="B26" s="132" t="inlineStr">
        <is>
          <t>ΔInvested Capital</t>
        </is>
      </c>
      <c r="C26" s="156" t="inlineStr">
        <is>
          <t>N/A</t>
        </is>
      </c>
      <c r="D26" s="150">
        <f>D15-C15</f>
        <v/>
      </c>
      <c r="E26" s="150">
        <f>E15-D15</f>
        <v/>
      </c>
      <c r="F26" s="150">
        <f>F15-E15</f>
        <v/>
      </c>
      <c r="G26" s="150">
        <f>G15-F15</f>
        <v/>
      </c>
      <c r="H26" s="150">
        <f>H15-G15</f>
        <v/>
      </c>
    </row>
    <row r="27" ht="15" customHeight="1" s="108">
      <c r="B27" s="188" t="inlineStr">
        <is>
          <t>Marginal ROIC = ΔNOPAT / ΔIC</t>
        </is>
      </c>
      <c r="C27" s="162" t="inlineStr">
        <is>
          <t>N/A</t>
        </is>
      </c>
      <c r="D27" s="196">
        <f>IF(D26&lt;0,"N/M",IF(D26=0,0,D25/D26))</f>
        <v/>
      </c>
      <c r="E27" s="196">
        <f>IF(E26&lt;0,"N/M",IF(E26=0,0,E25/E26))</f>
        <v/>
      </c>
      <c r="F27" s="196">
        <f>IF(F26&lt;0,"N/M",IF(F26=0,0,F25/F26))</f>
        <v/>
      </c>
      <c r="G27" s="196">
        <f>IF(G26&lt;0,"N/M",IF(G26=0,0,G25/G26))</f>
        <v/>
      </c>
      <c r="H27" s="196">
        <f>IF(H26&lt;0,"N/M",IF(H26=0,0,H25/H26))</f>
        <v/>
      </c>
    </row>
    <row r="29" ht="15" customHeight="1" s="108">
      <c r="B29" s="197" t="inlineStr">
        <is>
          <t>— — — — — — — — — — — — — — —</t>
        </is>
      </c>
    </row>
    <row r="31" ht="15" customHeight="1" s="108">
      <c r="B31" s="113" t="inlineStr">
        <is>
          <t>SECCIÓN 3: MARGINAL ROIC — ACCUMULATED GROWTH CAPEX</t>
        </is>
      </c>
    </row>
    <row r="32" ht="15" customHeight="1" s="108">
      <c r="B32" s="129" t="inlineStr">
        <is>
          <t>CONCEPTO</t>
        </is>
      </c>
      <c r="C32" s="129" t="inlineStr">
        <is>
          <t>Ventana 2yr (FY24→25)</t>
        </is>
      </c>
      <c r="D32" s="129" t="inlineStr">
        <is>
          <t>Ventana 3yr (FY23→25)</t>
        </is>
      </c>
      <c r="E32" s="129" t="inlineStr">
        <is>
          <t>Ventana 4yr (FY22→25)</t>
        </is>
      </c>
    </row>
    <row r="33" ht="15" customHeight="1" s="108">
      <c r="B33" s="132" t="inlineStr">
        <is>
          <t>Accumulated Growth CapEx (Σ Growth CapEx + S&amp;M Growth + R&amp;D Growth)</t>
        </is>
      </c>
      <c r="C33" s="150">
        <f>MAX(0,-'4. CF'!G13-'4. CF'!G7)+MAX(0,-'4. CF'!H13-'4. CF'!H7)+'6. S&amp;M Cap'!F32+'6. S&amp;M Cap'!G32+'7. R&amp;D Cap'!F32+'7. R&amp;D Cap'!G32</f>
        <v/>
      </c>
      <c r="D33" s="150">
        <f>MAX(0,-'4. CF'!F13-'4. CF'!F7)+MAX(0,-'4. CF'!G13-'4. CF'!G7)+MAX(0,-'4. CF'!H13-'4. CF'!H7)+'6. S&amp;M Cap'!E32+'6. S&amp;M Cap'!F32+'6. S&amp;M Cap'!G32+'7. R&amp;D Cap'!E32+'7. R&amp;D Cap'!F32+'7. R&amp;D Cap'!G32</f>
        <v/>
      </c>
      <c r="E33" s="150">
        <f>MAX(0,-'4. CF'!E13-'4. CF'!E7)+MAX(0,-'4. CF'!F13-'4. CF'!F7)+MAX(0,-'4. CF'!G13-'4. CF'!G7)+MAX(0,-'4. CF'!H13-'4. CF'!H7)+'6. S&amp;M Cap'!D32+'6. S&amp;M Cap'!E32+'6. S&amp;M Cap'!F32+'6. S&amp;M Cap'!G32+'7. R&amp;D Cap'!D32+'7. R&amp;D Cap'!E32+'7. R&amp;D Cap'!F32+'7. R&amp;D Cap'!G32</f>
        <v/>
      </c>
    </row>
    <row r="34" ht="15" customHeight="1" s="108">
      <c r="B34" s="132" t="inlineStr">
        <is>
          <t>ΔNOPAT (over same window)</t>
        </is>
      </c>
      <c r="C34" s="150">
        <f>'9. NOPAT'!I27-'9. NOPAT'!G27</f>
        <v/>
      </c>
      <c r="D34" s="150">
        <f>'9. NOPAT'!I27-'9. NOPAT'!F27</f>
        <v/>
      </c>
      <c r="E34" s="150">
        <f>'9. NOPAT'!I27-'9. NOPAT'!E27</f>
        <v/>
      </c>
    </row>
    <row r="35" ht="15" customHeight="1" s="108">
      <c r="B35" s="188" t="inlineStr">
        <is>
          <t>Marginal ROIC (Accumulated Growth)</t>
        </is>
      </c>
      <c r="C35" s="196">
        <f>IF(C33&lt;=0,0,C34/C33)</f>
        <v/>
      </c>
      <c r="D35" s="196">
        <f>IF(D33&lt;=0,0,D34/D33)</f>
        <v/>
      </c>
      <c r="E35" s="196">
        <f>IF(E33&lt;=0,0,E34/E33)</f>
        <v/>
      </c>
    </row>
    <row r="37" ht="15" customHeight="1" s="108">
      <c r="B37" s="132" t="inlineStr">
        <is>
          <t>Comparación: Marginal ROIC estándar (FY24→25) vs Growth (2yr)</t>
        </is>
      </c>
      <c r="C37" s="141">
        <f>H27</f>
        <v/>
      </c>
      <c r="D37" s="141">
        <f>C35</f>
        <v/>
      </c>
      <c r="E37" s="141">
        <f>ABS(C37-D37)</f>
        <v/>
      </c>
    </row>
    <row r="39" ht="15" customHeight="1" s="108">
      <c r="B39" s="158" t="inlineStr">
        <is>
          <t>"N/M" = Not Meaningful (denominador negativo). "0%" = denominador cero o sin growth investment tracked.</t>
        </is>
      </c>
    </row>
    <row r="41" ht="15" customHeight="1" s="108">
      <c r="B41" s="146" t="inlineStr">
        <is>
          <t>Source: NOPAT + BS + CF + Cap sheets | DCE Holdings Columbia Framework v4.2 | 22-May-2026</t>
        </is>
      </c>
    </row>
  </sheetData>
  <mergeCells count="9">
    <mergeCell ref="B41:H41"/>
    <mergeCell ref="B21:H21"/>
    <mergeCell ref="B39:H39"/>
    <mergeCell ref="B2:H2"/>
    <mergeCell ref="B29:H29"/>
    <mergeCell ref="B3:H3"/>
    <mergeCell ref="B5:H5"/>
    <mergeCell ref="B31:H31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B2:D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45" customWidth="1" style="107" min="2" max="2"/>
    <col width="18" customWidth="1" style="107" min="3" max="3"/>
    <col width="50" customWidth="1" style="107" min="4" max="4"/>
  </cols>
  <sheetData>
    <row r="2" ht="15" customHeight="1" s="108">
      <c r="B2" s="127" t="inlineStr">
        <is>
          <t>IMPLIED IRR — Ferrari N.V. (NYSE: RACE) | DCE Holdings</t>
        </is>
      </c>
    </row>
    <row r="3" ht="15" customHeight="1" s="108">
      <c r="B3" s="128" t="inlineStr">
        <is>
          <t>Enterprise-first 7-section return framework | Modigliani-Miller lever-up to equity | Hurdle = 12%</t>
        </is>
      </c>
    </row>
    <row r="5" ht="15" customHeight="1" s="108">
      <c r="B5" s="113" t="inlineStr">
        <is>
          <t>SECCIÓN 1: ENTERPRISE VALUE</t>
        </is>
      </c>
    </row>
    <row r="6" ht="15" customHeight="1" s="108">
      <c r="B6" s="132" t="inlineStr">
        <is>
          <t>Market Cap (€M)</t>
        </is>
      </c>
      <c r="C6" s="121">
        <f>'1. Overview'!C19</f>
        <v/>
      </c>
      <c r="D6" s="158" t="inlineStr">
        <is>
          <t>Precio × Acciones Diluidas</t>
        </is>
      </c>
    </row>
    <row r="7" ht="15" customHeight="1" s="108">
      <c r="B7" s="132" t="inlineStr">
        <is>
          <t>(+) Total Deuda (€M)</t>
        </is>
      </c>
      <c r="C7" s="121">
        <f>'3. BS'!H44</f>
        <v/>
      </c>
      <c r="D7" s="158" t="inlineStr">
        <is>
          <t>ST Debt + LT Debt</t>
        </is>
      </c>
    </row>
    <row r="8" ht="15" customHeight="1" s="108">
      <c r="B8" s="132" t="inlineStr">
        <is>
          <t>(+) Lease Liabilities (€M)</t>
        </is>
      </c>
      <c r="C8" s="121">
        <f>'3. BS'!H30</f>
        <v/>
      </c>
      <c r="D8" s="158" t="inlineStr">
        <is>
          <t>IFRS 16 leases (LT)</t>
        </is>
      </c>
    </row>
    <row r="9" ht="15" customHeight="1" s="108">
      <c r="B9" s="132" t="inlineStr">
        <is>
          <t>(−) Cash &amp; STI (€M)</t>
        </is>
      </c>
      <c r="C9" s="121">
        <f>-'3. BS'!H7</f>
        <v/>
      </c>
      <c r="D9" s="158" t="inlineStr">
        <is>
          <t>Total cash position</t>
        </is>
      </c>
    </row>
    <row r="10" ht="15" customHeight="1" s="108">
      <c r="B10" s="183" t="inlineStr">
        <is>
          <t>Enterprise Value (€M)</t>
        </is>
      </c>
      <c r="C10" s="120">
        <f>C6+C7+C8+C9</f>
        <v/>
      </c>
      <c r="D10" s="175" t="n"/>
    </row>
    <row r="12" ht="15" customHeight="1" s="108">
      <c r="B12" s="113" t="inlineStr">
        <is>
          <t>SECCIÓN 2: NOPAT AJUSTADO (Normalizado)</t>
        </is>
      </c>
    </row>
    <row r="13" ht="15" customHeight="1" s="108">
      <c r="B13" s="183" t="inlineStr">
        <is>
          <t>NOPAT Ajustado Normalizado (€M)</t>
        </is>
      </c>
      <c r="C13" s="176">
        <f>'9. NOPAT'!J27</f>
        <v/>
      </c>
      <c r="D13" s="185" t="inlineStr">
        <is>
          <t>Link NOPAT J27</t>
        </is>
      </c>
    </row>
    <row r="14" ht="15" customHeight="1" s="108">
      <c r="B14" s="132" t="inlineStr">
        <is>
          <t>NOPAT Multiple (EV / NOPAT)</t>
        </is>
      </c>
      <c r="C14" s="198">
        <f>C10/C13</f>
        <v/>
      </c>
      <c r="D14" s="158" t="inlineStr">
        <is>
          <t>Current multiple</t>
        </is>
      </c>
    </row>
    <row r="16" ht="15" customHeight="1" s="108">
      <c r="B16" s="113" t="inlineStr">
        <is>
          <t>SECCIÓN 3: DISTRIBUCIONES</t>
        </is>
      </c>
    </row>
    <row r="17" ht="15" customHeight="1" s="108">
      <c r="B17" s="132" t="inlineStr">
        <is>
          <t>Dividendos Pagados (FY2025, €M)</t>
        </is>
      </c>
      <c r="C17" s="121">
        <f>-'4. CF'!H19</f>
        <v/>
      </c>
      <c r="D17" s="158" t="inlineStr">
        <is>
          <t>Link CF H19 (absoluto)</t>
        </is>
      </c>
    </row>
    <row r="18" ht="15" customHeight="1" s="108">
      <c r="B18" s="132" t="inlineStr">
        <is>
          <t>(+) Buybacks Sostenibles (DP#16, €M)</t>
        </is>
      </c>
      <c r="C18" s="133" t="n">
        <v>350</v>
      </c>
      <c r="D18" s="158" t="inlineStr">
        <is>
          <t>DP#16 = €350M/y (FY25 €1,341M era extraordinario)</t>
        </is>
      </c>
    </row>
    <row r="19" ht="15" customHeight="1" s="108">
      <c r="B19" s="132" t="inlineStr">
        <is>
          <t>(+) Gasto por Intereses pre-tax (€M)</t>
        </is>
      </c>
      <c r="C19" s="121">
        <f>'2. IS'!H17</f>
        <v/>
      </c>
      <c r="D19" s="158" t="inlineStr">
        <is>
          <t>Link IS H17</t>
        </is>
      </c>
    </row>
    <row r="20" ht="15" customHeight="1" s="108">
      <c r="B20" s="183" t="inlineStr">
        <is>
          <t>Total Distribuciones (€M)</t>
        </is>
      </c>
      <c r="C20" s="120">
        <f>C17+C18+C19</f>
        <v/>
      </c>
      <c r="D20" s="175" t="n"/>
    </row>
    <row r="21" ht="15" customHeight="1" s="108">
      <c r="B21" s="183" t="inlineStr">
        <is>
          <t>Distribution Yield (Dist / EV)</t>
        </is>
      </c>
      <c r="C21" s="184">
        <f>C20/C10</f>
        <v/>
      </c>
      <c r="D21" s="185" t="inlineStr">
        <is>
          <t>Yield enterprise</t>
        </is>
      </c>
    </row>
    <row r="22" ht="15" customHeight="1" s="108">
      <c r="B22" s="132" t="inlineStr">
        <is>
          <t>Distribution Rate (Dist / NOPAT)</t>
        </is>
      </c>
      <c r="C22" s="141">
        <f>C20/C13</f>
        <v/>
      </c>
      <c r="D22" s="158" t="inlineStr">
        <is>
          <t>Informational (puede exceder 100%)</t>
        </is>
      </c>
    </row>
    <row r="24" ht="15" customHeight="1" s="108">
      <c r="B24" s="113" t="inlineStr">
        <is>
          <t>SECCIÓN 4: REINVERSIÓN (bottom-up)</t>
        </is>
      </c>
    </row>
    <row r="25" ht="15" customHeight="1" s="108">
      <c r="B25" s="132" t="inlineStr">
        <is>
          <t>CapEx Total FY2025 (€M)</t>
        </is>
      </c>
      <c r="C25" s="121">
        <f>-'4. CF'!H13</f>
        <v/>
      </c>
      <c r="D25" s="158" t="inlineStr">
        <is>
          <t>Absoluto</t>
        </is>
      </c>
    </row>
    <row r="26" ht="15" customHeight="1" s="108">
      <c r="B26" s="132" t="inlineStr">
        <is>
          <t>(−) Maintenance CapEx (≈ D&amp;A)</t>
        </is>
      </c>
      <c r="C26" s="121">
        <f>-'10. EPV'!C22</f>
        <v/>
      </c>
      <c r="D26" s="158" t="inlineStr">
        <is>
          <t>Maintenance (deducción)</t>
        </is>
      </c>
    </row>
    <row r="27" ht="15" customHeight="1" s="108">
      <c r="B27" s="132" t="inlineStr">
        <is>
          <t>Growth CapEx = MAX(0, CapEx − Maint)</t>
        </is>
      </c>
      <c r="C27" s="150">
        <f>MAX(0,C25+C26)</f>
        <v/>
      </c>
    </row>
    <row r="28" ht="15" customHeight="1" s="108">
      <c r="B28" s="132" t="inlineStr">
        <is>
          <t>(+) Δ Capital de Trabajo (est.)</t>
        </is>
      </c>
      <c r="C28" s="133" t="n">
        <v>0</v>
      </c>
      <c r="D28" s="158" t="inlineStr">
        <is>
          <t>Cambios neutralizados — incluido en CFO change</t>
        </is>
      </c>
    </row>
    <row r="29" ht="15" customHeight="1" s="108">
      <c r="B29" s="132" t="inlineStr">
        <is>
          <t>(+) S&amp;M Growth Expense</t>
        </is>
      </c>
      <c r="C29" s="121">
        <f>MAX(0,'6. S&amp;M Cap'!G32)</f>
        <v/>
      </c>
      <c r="D29" s="158" t="inlineStr">
        <is>
          <t>Link S&amp;M G32</t>
        </is>
      </c>
    </row>
    <row r="30" ht="15" customHeight="1" s="108">
      <c r="B30" s="132" t="inlineStr">
        <is>
          <t>(+) R&amp;D Growth Expense</t>
        </is>
      </c>
      <c r="C30" s="121">
        <f>MAX(0,'7. R&amp;D Cap'!G32)</f>
        <v/>
      </c>
      <c r="D30" s="158" t="inlineStr">
        <is>
          <t>Link R&amp;D G32</t>
        </is>
      </c>
    </row>
    <row r="31" ht="15" customHeight="1" s="108">
      <c r="B31" s="183" t="inlineStr">
        <is>
          <t>Total Reinversión (€M)</t>
        </is>
      </c>
      <c r="C31" s="120">
        <f>C27+C28+C29+C30</f>
        <v/>
      </c>
      <c r="D31" s="175" t="n"/>
    </row>
    <row r="32" ht="15" customHeight="1" s="108">
      <c r="B32" s="183" t="inlineStr">
        <is>
          <t>Reinvestment Rate (Reinv / NOPAT)</t>
        </is>
      </c>
      <c r="C32" s="192">
        <f>C31/C13</f>
        <v/>
      </c>
      <c r="D32" s="175" t="n"/>
    </row>
    <row r="34" ht="15" customHeight="1" s="108">
      <c r="B34" s="113" t="inlineStr">
        <is>
          <t>SECCIÓN 5: CRECIMIENTO</t>
        </is>
      </c>
    </row>
    <row r="35" ht="15" customHeight="1" s="108">
      <c r="B35" s="132" t="inlineStr">
        <is>
          <t>ROIC Seleccionado (3yr avg FY23-25)</t>
        </is>
      </c>
      <c r="C35" s="141">
        <f>AVERAGE(IFERROR(VALUE('11. ROIC'!F17),0),IFERROR(VALUE('11. ROIC'!G17),0),IFERROR(VALUE('11. ROIC'!H17),0))</f>
        <v/>
      </c>
      <c r="D35" s="158" t="inlineStr">
        <is>
          <t>Promedio últimos 3 FY (skip N/M)</t>
        </is>
      </c>
    </row>
    <row r="36" ht="15" customHeight="1" s="108">
      <c r="B36" s="132" t="inlineStr">
        <is>
          <t>Crecimiento por Reinversión (ReinvRate × ROIC)</t>
        </is>
      </c>
      <c r="C36" s="141">
        <f>C32*C35</f>
        <v/>
      </c>
    </row>
    <row r="37" ht="15" customHeight="1" s="108">
      <c r="B37" s="132" t="inlineStr">
        <is>
          <t>Crecimiento Orgánico (DP#17)</t>
        </is>
      </c>
      <c r="C37" s="168" t="n">
        <v>0.02</v>
      </c>
      <c r="D37" s="158" t="inlineStr">
        <is>
          <t>DP#17 = 2% (luxury secular tailwinds)</t>
        </is>
      </c>
    </row>
    <row r="38" ht="15" customHeight="1" s="108">
      <c r="B38" s="183" t="inlineStr">
        <is>
          <t>Total Crecimiento</t>
        </is>
      </c>
      <c r="C38" s="192">
        <f>C36+C37</f>
        <v/>
      </c>
      <c r="D38" s="175" t="n"/>
    </row>
    <row r="40" ht="15" customHeight="1" s="108">
      <c r="B40" s="113" t="inlineStr">
        <is>
          <t>SECCIÓN 6: COMPORTAMIENTO DEL MÚLTIPLO</t>
        </is>
      </c>
    </row>
    <row r="41" ht="15" customHeight="1" s="108">
      <c r="B41" s="132" t="inlineStr">
        <is>
          <t>NOPAT Multiple Actual (EV / NOPAT)</t>
        </is>
      </c>
      <c r="C41" s="198">
        <f>C14</f>
        <v/>
      </c>
      <c r="D41" s="158" t="inlineStr">
        <is>
          <t>Link Sección 2</t>
        </is>
      </c>
    </row>
    <row r="42" ht="15" customHeight="1" s="108">
      <c r="B42" s="132" t="inlineStr">
        <is>
          <t>Investment Horizon (años)</t>
        </is>
      </c>
      <c r="C42" s="164" t="n">
        <v>5</v>
      </c>
      <c r="D42" s="158" t="inlineStr">
        <is>
          <t>Default 5 años</t>
        </is>
      </c>
    </row>
    <row r="43" ht="15" customHeight="1" s="108">
      <c r="B43" s="132" t="inlineStr">
        <is>
          <t>Assumed Exit Multiple (DP#15)</t>
        </is>
      </c>
      <c r="C43" s="199" t="n">
        <v>32</v>
      </c>
      <c r="D43" s="158" t="inlineStr">
        <is>
          <t>DP#15 = 32× NOPAT (reversión a la media luxury)</t>
        </is>
      </c>
    </row>
    <row r="44" ht="15" customHeight="1" s="108">
      <c r="B44" s="132" t="inlineStr">
        <is>
          <t>Multiple Expansion / (Contraction)</t>
        </is>
      </c>
      <c r="C44" s="141">
        <f>(C43-C41)/C41</f>
        <v/>
      </c>
    </row>
    <row r="45" ht="15" customHeight="1" s="108">
      <c r="B45" s="132" t="inlineStr">
        <is>
          <t>Impacto Anualizado del Múltiplo</t>
        </is>
      </c>
      <c r="C45" s="141">
        <f>(C43/C41)^(1/C42)-1</f>
        <v/>
      </c>
    </row>
    <row r="47" ht="15" customHeight="1" s="108">
      <c r="B47" s="113" t="inlineStr">
        <is>
          <t>SECCIÓN 7: RETORNOS Y MARGEN DE SEGURIDAD</t>
        </is>
      </c>
    </row>
    <row r="48" ht="15" customHeight="1" s="108">
      <c r="B48" s="132" t="inlineStr">
        <is>
          <t>Retorno Total Enterprise (Dist Yield + Crec + Múlt.)</t>
        </is>
      </c>
      <c r="C48" s="141">
        <f>C21+C38+C45</f>
        <v/>
      </c>
      <c r="D48" s="158" t="inlineStr">
        <is>
          <t>Enterprise-level return</t>
        </is>
      </c>
    </row>
    <row r="49" ht="15" customHeight="1" s="108">
      <c r="B49" s="132" t="inlineStr">
        <is>
          <t>D/E (Market: (Debt+Leases) / MCap)</t>
        </is>
      </c>
      <c r="C49" s="141">
        <f>(C7+C8)/C6</f>
        <v/>
      </c>
    </row>
    <row r="50" ht="15" customHeight="1" s="108">
      <c r="B50" s="132" t="inlineStr">
        <is>
          <t>Net Borrowing Cost = Int×(1−t)/(D+L)</t>
        </is>
      </c>
      <c r="C50" s="141">
        <f>'2. IS'!H17*(1-'9. NOPAT'!C6)/(C7+C8)</f>
        <v/>
      </c>
    </row>
    <row r="51" ht="15" customHeight="1" s="108">
      <c r="B51" s="188" t="inlineStr">
        <is>
          <t>Retorno Total al Accionista (Equity)</t>
        </is>
      </c>
      <c r="C51" s="200">
        <f>C48+C49*(C48-C50)</f>
        <v/>
      </c>
      <c r="D51" s="190" t="inlineStr">
        <is>
          <t>Modigliani-Miller lever-up</t>
        </is>
      </c>
    </row>
    <row r="52" ht="15" customHeight="1" s="108">
      <c r="B52" s="132" t="inlineStr">
        <is>
          <t>Hurdle Rate (DP#11)</t>
        </is>
      </c>
      <c r="C52" s="168" t="n">
        <v>0.12</v>
      </c>
      <c r="D52" s="158" t="inlineStr">
        <is>
          <t>DP#9 = 12%</t>
        </is>
      </c>
    </row>
    <row r="53" ht="15" customHeight="1" s="108">
      <c r="B53" s="188" t="inlineStr">
        <is>
          <t>Margen de Seguridad (MoS = Ret.Equity − Hurdle)</t>
        </is>
      </c>
      <c r="C53" s="200">
        <f>C51-C52</f>
        <v/>
      </c>
      <c r="D53" s="163" t="n"/>
    </row>
    <row r="55" ht="15" customHeight="1" s="108">
      <c r="B55" s="119" t="inlineStr">
        <is>
          <t>EXCESO DE CAJA:</t>
        </is>
      </c>
    </row>
    <row r="56" ht="15" customHeight="1" s="108">
      <c r="B56" s="132" t="inlineStr">
        <is>
          <t>NOPAT − Reinversión − Distribuciones (€M)</t>
        </is>
      </c>
      <c r="C56" s="150">
        <f>C13-C31-C20</f>
        <v/>
      </c>
      <c r="D56" s="158" t="inlineStr">
        <is>
          <t>Free cash after all reinvestment + distributions</t>
        </is>
      </c>
    </row>
    <row r="57" ht="15" customHeight="1" s="108">
      <c r="B57" s="132" t="inlineStr">
        <is>
          <t>Exceso Caja % NOPAT</t>
        </is>
      </c>
      <c r="C57" s="141">
        <f>C56/C13</f>
        <v/>
      </c>
    </row>
    <row r="60" ht="15" customHeight="1" s="108">
      <c r="B60" s="113" t="inlineStr">
        <is>
          <t>ESCENARIO BEAR (sensibilidad estresada)</t>
        </is>
      </c>
    </row>
    <row r="61" ht="15" customHeight="1" s="108">
      <c r="B61" s="132" t="inlineStr">
        <is>
          <t>Exit Multiple Bear (24×)</t>
        </is>
      </c>
      <c r="C61" s="199" t="n">
        <v>24</v>
      </c>
      <c r="D61" s="158" t="inlineStr">
        <is>
          <t>Compresión múltiplo escenario bear</t>
        </is>
      </c>
    </row>
    <row r="62" ht="15" customHeight="1" s="108">
      <c r="B62" s="132" t="inlineStr">
        <is>
          <t>Impacto Múltiplo Bear (anualizado)</t>
        </is>
      </c>
      <c r="C62" s="141">
        <f>(C61/C41)^(1/C42)-1</f>
        <v/>
      </c>
    </row>
    <row r="63" ht="15" customHeight="1" s="108">
      <c r="B63" s="132" t="inlineStr">
        <is>
          <t>Crecimiento Bear</t>
        </is>
      </c>
      <c r="C63" s="168" t="n">
        <v>0.015</v>
      </c>
      <c r="D63" s="158" t="inlineStr">
        <is>
          <t>Combined crec ~1.5% en bear</t>
        </is>
      </c>
    </row>
    <row r="64" ht="15" customHeight="1" s="108">
      <c r="B64" s="132" t="inlineStr">
        <is>
          <t>Retorno Total Enterprise Bear</t>
        </is>
      </c>
      <c r="C64" s="141">
        <f>C21+C63+C62</f>
        <v/>
      </c>
    </row>
    <row r="65" ht="15" customHeight="1" s="108">
      <c r="B65" s="183" t="inlineStr">
        <is>
          <t>Retorno Equity Bear (M&amp;M)</t>
        </is>
      </c>
      <c r="C65" s="192">
        <f>C64+C49*(C64-C50)</f>
        <v/>
      </c>
      <c r="D65" s="175" t="n"/>
    </row>
    <row r="66" ht="15" customHeight="1" s="108">
      <c r="B66" s="132" t="inlineStr">
        <is>
          <t>Downside vs Hurdle (bear − hurdle)</t>
        </is>
      </c>
      <c r="C66" s="141">
        <f>C65-C52</f>
        <v/>
      </c>
    </row>
    <row r="67" ht="15" customHeight="1" s="108">
      <c r="B67" s="132" t="inlineStr">
        <is>
          <t>Downside Price % (5y compound Bear vs price flat)</t>
        </is>
      </c>
      <c r="C67" s="141">
        <f>(1+C65)^C42-1-((1+C52)^C42-1)</f>
        <v/>
      </c>
      <c r="D67" s="158" t="inlineStr">
        <is>
          <t>Bear total return minus hurdle compounded</t>
        </is>
      </c>
    </row>
    <row r="69" ht="15" customHeight="1" s="108">
      <c r="B69" s="146" t="inlineStr">
        <is>
          <t>Source: Overview + IS + BS + CF + NOPAT + ROIC | DCE Holdings Implied IRR v4.2 | 22-May-2026</t>
        </is>
      </c>
    </row>
  </sheetData>
  <mergeCells count="11">
    <mergeCell ref="B3:D3"/>
    <mergeCell ref="B5:D5"/>
    <mergeCell ref="B60:D60"/>
    <mergeCell ref="B24:D24"/>
    <mergeCell ref="B40:D40"/>
    <mergeCell ref="B16:D16"/>
    <mergeCell ref="B12:D12"/>
    <mergeCell ref="B69:D69"/>
    <mergeCell ref="B47:D47"/>
    <mergeCell ref="B2:D2"/>
    <mergeCell ref="B34:D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1B2642"/>
    <outlinePr summaryBelow="1" summaryRight="1"/>
    <pageSetUpPr fitToPage="0"/>
  </sheetPr>
  <dimension ref="A1:E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8" customWidth="1" style="107" min="2" max="2"/>
    <col width="40" customWidth="1" style="107" min="3" max="3"/>
    <col width="30" customWidth="1" style="107" min="4" max="4"/>
    <col width="60" customWidth="1" style="107" min="5" max="5"/>
  </cols>
  <sheetData>
    <row r="1"/>
    <row r="2" ht="15" customHeight="1" s="108">
      <c r="B2" s="127" t="inlineStr">
        <is>
          <t>RESUMEN DE VALORACIÓN — Ferrari N.V. (NYSE: RACE) | DCE Holdings</t>
        </is>
      </c>
    </row>
    <row r="3" ht="15" customHeight="1" s="108">
      <c r="B3" s="128" t="inlineStr">
        <is>
          <t>Fecha de Valoración: 22-May-2026 | Precio: €317.63 | EUR throughout</t>
        </is>
      </c>
    </row>
    <row r="4"/>
    <row r="5" ht="15" customHeight="1" s="108">
      <c r="B5" s="113" t="inlineStr">
        <is>
          <t>ESCALERA COLUMBIA</t>
        </is>
      </c>
    </row>
    <row r="6" ht="15" customHeight="1" s="108">
      <c r="B6" s="132" t="inlineStr">
        <is>
          <t>Reproduction Value / acción (€)</t>
        </is>
      </c>
      <c r="D6" s="124">
        <f>'8. RV'!E50</f>
        <v/>
      </c>
      <c r="E6" s="158" t="inlineStr">
        <is>
          <t>Greenwald asset value</t>
        </is>
      </c>
    </row>
    <row r="7" ht="15" customHeight="1" s="108">
      <c r="B7" s="132" t="inlineStr">
        <is>
          <t>EPV / acción (€)</t>
        </is>
      </c>
      <c r="D7" s="124">
        <f>'10. EPV'!C32</f>
        <v/>
      </c>
      <c r="E7" s="158" t="inlineStr">
        <is>
          <t>Earnings Power Value</t>
        </is>
      </c>
    </row>
    <row r="8" ht="15" customHeight="1" s="108">
      <c r="B8" s="132" t="inlineStr">
        <is>
          <t>Precio Actual (€)</t>
        </is>
      </c>
      <c r="D8" s="124">
        <f>'1. Overview'!C17</f>
        <v/>
      </c>
      <c r="E8" s="158" t="inlineStr">
        <is>
          <t>Mercado</t>
        </is>
      </c>
    </row>
    <row r="9" ht="15" customHeight="1" s="108">
      <c r="B9" s="183" t="inlineStr">
        <is>
          <t>EPV / RV ratio</t>
        </is>
      </c>
      <c r="D9" s="201">
        <f>D7/D6</f>
        <v/>
      </c>
      <c r="E9" s="185" t="inlineStr">
        <is>
          <t>Franchise value (&gt;1 ⇒ moat)</t>
        </is>
      </c>
    </row>
    <row r="10" ht="15" customHeight="1" s="108">
      <c r="B10" s="183" t="inlineStr">
        <is>
          <t>Precio / EPV ratio</t>
        </is>
      </c>
      <c r="D10" s="201">
        <f>D8/D7</f>
        <v/>
      </c>
      <c r="E10" s="185" t="inlineStr">
        <is>
          <t>Premium / discount al EPV</t>
        </is>
      </c>
    </row>
    <row r="11" ht="15" customHeight="1" s="108">
      <c r="B11" s="132" t="inlineStr">
        <is>
          <t>Implied IRR (Equity)</t>
        </is>
      </c>
      <c r="D11" s="123">
        <f>'12. Implied IRR'!C51</f>
        <v/>
      </c>
      <c r="E11" s="158" t="inlineStr">
        <is>
          <t>Retorno enterprise leverado</t>
        </is>
      </c>
    </row>
    <row r="12" ht="15" customHeight="1" s="108">
      <c r="B12" s="132" t="inlineStr">
        <is>
          <t>Hurdle Rate</t>
        </is>
      </c>
      <c r="D12" s="123">
        <f>'12. Implied IRR'!C52</f>
        <v/>
      </c>
      <c r="E12" s="158" t="inlineStr">
        <is>
          <t>DP#11</t>
        </is>
      </c>
    </row>
    <row r="13"/>
    <row r="14" ht="15" customHeight="1" s="108">
      <c r="B14" s="113" t="inlineStr">
        <is>
          <t>MARGEN DE SEGURIDAD</t>
        </is>
      </c>
    </row>
    <row r="15" ht="15" customHeight="1" s="108">
      <c r="B15" s="132" t="inlineStr">
        <is>
          <t>MoS EPV = (EPV − Price) / EPV</t>
        </is>
      </c>
      <c r="D15" s="123">
        <f>'10. EPV'!C37</f>
        <v/>
      </c>
    </row>
    <row r="16" ht="15" customHeight="1" s="108">
      <c r="B16" s="132" t="inlineStr">
        <is>
          <t>MoS Implied IRR = Ret.Equity − Hurdle</t>
        </is>
      </c>
      <c r="D16" s="123">
        <f>'12. Implied IRR'!C53</f>
        <v/>
      </c>
    </row>
    <row r="17"/>
    <row r="18" ht="15" customHeight="1" s="108">
      <c r="B18" s="113" t="inlineStr">
        <is>
          <t>WACC / ROIC / SPREAD</t>
        </is>
      </c>
    </row>
    <row r="19" ht="15" customHeight="1" s="108">
      <c r="B19" s="132" t="inlineStr">
        <is>
          <t>WACC</t>
        </is>
      </c>
      <c r="D19" s="186">
        <f>'10. EPV'!C15</f>
        <v/>
      </c>
    </row>
    <row r="20" ht="15" customHeight="1" s="108">
      <c r="B20" s="132" t="inlineStr">
        <is>
          <t>ROIC (FY 2025)</t>
        </is>
      </c>
      <c r="D20" s="141">
        <f>IF(ISTEXT('11. ROIC'!H17),"N/M",'11. ROIC'!H17)</f>
        <v/>
      </c>
      <c r="E20" s="158" t="inlineStr">
        <is>
          <t>Link ROIC sheet H17</t>
        </is>
      </c>
    </row>
    <row r="21" ht="15" customHeight="1" s="108">
      <c r="B21" s="132" t="inlineStr">
        <is>
          <t>Spread (ROIC − WACC)</t>
        </is>
      </c>
      <c r="D21" s="141">
        <f>IF(ISTEXT(D20),"N/M",D20-D19)</f>
        <v/>
      </c>
    </row>
    <row r="22" ht="15" customHeight="1" s="108">
      <c r="B22" s="132" t="inlineStr">
        <is>
          <t>FCF Margin</t>
        </is>
      </c>
      <c r="D22" s="141">
        <f>'4. CF'!H25/'2. IS'!H5</f>
        <v/>
      </c>
    </row>
    <row r="23" ht="15" customHeight="1" s="108">
      <c r="B23" s="132" t="inlineStr">
        <is>
          <t>Operating Margin</t>
        </is>
      </c>
      <c r="D23" s="141">
        <f>'2. IS'!H16/'2. IS'!H5</f>
        <v/>
      </c>
    </row>
    <row r="24"/>
    <row r="25" ht="15" customHeight="1" s="108">
      <c r="B25" s="202" t="inlineStr">
        <is>
          <t>DECLARACIÓN DE ESCALERA (Columbia framework):</t>
        </is>
      </c>
      <c r="C25" s="203" t="n"/>
      <c r="D25" s="203" t="n"/>
      <c r="E25" s="203" t="n"/>
    </row>
    <row r="26" ht="60" customHeight="1" s="108">
      <c r="B26" s="204" t="inlineStr">
        <is>
          <t>Caso 3 — FV (Franchise Value) &gt; Precio. RV €70 &lt; EPV €112 &lt; Precio €318. Ni RV ni EPV justifican el precio, pero Implied IRR Equity 15.1% &gt; Hurdle 12% confirma que el FV (que incorpora crecimiento por reinversión a ROIC 19% + pricing organic 2%) supera el precio con MoS +3.1pp. La tesis depende de la durabilidad del moat + reinversión exitosa.</t>
        </is>
      </c>
    </row>
    <row r="27" ht="30" customHeight="1" s="108">
      <c r="B27" s="119" t="inlineStr">
        <is>
          <t>NOTAS:</t>
        </is>
      </c>
    </row>
    <row r="28" ht="30" customHeight="1" s="108">
      <c r="B28" s="205" t="inlineStr">
        <is>
          <t>• Ferrari opera con un moat de marca y exclusividad: RV/EPV gap confirma que la mayor parte del valor reside en franchise (intangibles no replicables), no en activos físicos.</t>
        </is>
      </c>
    </row>
    <row r="29" ht="30" customHeight="1" s="108">
      <c r="B29" s="205" t="inlineStr">
        <is>
          <t>• ROIC FY2025 supera ampliamente el WACC ~8%, validando que el reinvestment económico crea valor (Spread &gt; 5pp).</t>
        </is>
      </c>
    </row>
    <row r="30" ht="30" customHeight="1" s="108">
      <c r="B30" s="205" t="inlineStr">
        <is>
          <t>• Margen Op Normalizado al 27% refleja la mediana de la ventana FY2022-2025 — años post-COVID con pricing power consolidado.</t>
        </is>
      </c>
    </row>
    <row r="31">
      <c r="B31" s="205" t="inlineStr">
        <is>
          <t>• El FY2025 muestra CFO atípicamente alto (€4,179M) por release de working capital; FCF normalizado se estima ~€1.5Bn/año.</t>
        </is>
      </c>
    </row>
    <row r="32" ht="15" customHeight="1" s="108">
      <c r="B32" s="205" t="inlineStr">
        <is>
          <t>• Crecimiento Orgánico DP#17 = 2% conservador; pricing power en luxury permite ASP +5% real anual pero unidad cap (≤15k cars/yr) limita topline.</t>
        </is>
      </c>
    </row>
    <row r="33" ht="15" customHeight="1" s="108"/>
    <row r="34" ht="21.75" customHeight="1" s="108">
      <c r="B34" s="113" t="inlineStr">
        <is>
          <t>RESUMEN DE DECISIONES (17 Decision Points)</t>
        </is>
      </c>
    </row>
    <row r="35" ht="21.75" customHeight="1" s="108">
      <c r="B35" s="129" t="inlineStr">
        <is>
          <t>#</t>
        </is>
      </c>
      <c r="C35" s="129" t="inlineStr">
        <is>
          <t>Decision</t>
        </is>
      </c>
      <c r="D35" s="129" t="inlineStr">
        <is>
          <t>Value Chosen</t>
        </is>
      </c>
      <c r="E35" s="129" t="inlineStr">
        <is>
          <t>Rationale</t>
        </is>
      </c>
    </row>
    <row r="36" ht="21.75" customHeight="1" s="108">
      <c r="B36" s="157" t="inlineStr">
        <is>
          <t>1</t>
        </is>
      </c>
      <c r="C36" s="114" t="inlineStr">
        <is>
          <t>S&amp;M Proxy</t>
        </is>
      </c>
      <c r="D36" s="119" t="inlineStr">
        <is>
          <t>70% of SG&amp;A</t>
        </is>
      </c>
      <c r="E36" s="205" t="inlineStr">
        <is>
          <t>Ferrari no reporta línea S&amp;M; 70% es proxy estándar luxury</t>
        </is>
      </c>
    </row>
    <row r="37" ht="21.75" customHeight="1" s="108">
      <c r="B37" s="206" t="inlineStr">
        <is>
          <t>2</t>
        </is>
      </c>
      <c r="C37" s="142" t="inlineStr">
        <is>
          <t>R&amp;D Capitalization</t>
        </is>
      </c>
      <c r="D37" s="153" t="inlineStr">
        <is>
          <t>Capitalize</t>
        </is>
      </c>
      <c r="E37" s="207" t="inlineStr">
        <is>
          <t>R&amp;D tangible — motores, hybrid, autonomous</t>
        </is>
      </c>
    </row>
    <row r="38" ht="21.75" customHeight="1" s="108">
      <c r="B38" s="157" t="inlineStr">
        <is>
          <t>3</t>
        </is>
      </c>
      <c r="C38" s="114" t="inlineStr">
        <is>
          <t>S&amp;M Useful Life</t>
        </is>
      </c>
      <c r="D38" s="119" t="inlineStr">
        <is>
          <t>7 años</t>
        </is>
      </c>
      <c r="E38" s="205" t="inlineStr">
        <is>
          <t>Brand luxury equity dura ~7y antes decay</t>
        </is>
      </c>
    </row>
    <row r="39" ht="21.75" customHeight="1" s="108">
      <c r="B39" s="206" t="inlineStr">
        <is>
          <t>4</t>
        </is>
      </c>
      <c r="C39" s="142" t="inlineStr">
        <is>
          <t>R&amp;D Useful Life</t>
        </is>
      </c>
      <c r="D39" s="153" t="inlineStr">
        <is>
          <t>5 años</t>
        </is>
      </c>
      <c r="E39" s="207" t="inlineStr">
        <is>
          <t>Ciclo motor + ICE/hybrid platform</t>
        </is>
      </c>
    </row>
    <row r="40" ht="21.75" customHeight="1" s="108">
      <c r="B40" s="157" t="inlineStr">
        <is>
          <t>4b</t>
        </is>
      </c>
      <c r="C40" s="114" t="inlineStr">
        <is>
          <t>PIM Rates</t>
        </is>
      </c>
      <c r="D40" s="119" t="inlineStr">
        <is>
          <t>N/A (orgánico)</t>
        </is>
      </c>
      <c r="E40" s="205" t="inlineStr">
        <is>
          <t>Sin adquisiciones materiales recientes</t>
        </is>
      </c>
    </row>
    <row r="41" ht="21.75" customHeight="1" s="108">
      <c r="B41" s="206" t="inlineStr">
        <is>
          <t>5</t>
        </is>
      </c>
      <c r="C41" s="142" t="inlineStr">
        <is>
          <t>SBC Treatment</t>
        </is>
      </c>
      <c r="D41" s="153" t="inlineStr">
        <is>
          <t>Already in OpEx</t>
        </is>
      </c>
      <c r="E41" s="207" t="inlineStr">
        <is>
          <t>SBC ~€6M FY25, dentro Personnel costs</t>
        </is>
      </c>
    </row>
    <row r="42" ht="21.75" customHeight="1" s="108">
      <c r="B42" s="157" t="inlineStr">
        <is>
          <t>6</t>
        </is>
      </c>
      <c r="C42" s="114" t="inlineStr">
        <is>
          <t>Normalization Window</t>
        </is>
      </c>
      <c r="D42" s="119" t="inlineStr">
        <is>
          <t>FY2022-2025</t>
        </is>
      </c>
      <c r="E42" s="205" t="inlineStr">
        <is>
          <t>Excluye COVID 2020-21 (margen aplastado)</t>
        </is>
      </c>
    </row>
    <row r="43" ht="21.75" customHeight="1" s="108">
      <c r="B43" s="206" t="inlineStr">
        <is>
          <t>7</t>
        </is>
      </c>
      <c r="C43" s="142" t="inlineStr">
        <is>
          <t>Items to Normalize</t>
        </is>
      </c>
      <c r="D43" s="153" t="inlineStr">
        <is>
          <t>None material</t>
        </is>
      </c>
      <c r="E43" s="207" t="inlineStr">
        <is>
          <t>Sin litigios/restructuring relevantes</t>
        </is>
      </c>
    </row>
    <row r="44" ht="21.75" customHeight="1" s="108">
      <c r="B44" s="157" t="inlineStr">
        <is>
          <t>8</t>
        </is>
      </c>
      <c r="C44" s="114" t="inlineStr">
        <is>
          <t>Normalized Tax Rate</t>
        </is>
      </c>
      <c r="D44" s="119" t="inlineStr">
        <is>
          <t>20.5%</t>
        </is>
      </c>
      <c r="E44" s="205" t="inlineStr">
        <is>
          <t>Mediana últimos 4 FY; Italia 24% + benef. PEX</t>
        </is>
      </c>
    </row>
    <row r="45" ht="21.75" customHeight="1" s="108">
      <c r="B45" s="206" t="inlineStr">
        <is>
          <t>9</t>
        </is>
      </c>
      <c r="C45" s="142" t="inlineStr">
        <is>
          <t>Lease Treatment</t>
        </is>
      </c>
      <c r="D45" s="153" t="inlineStr">
        <is>
          <t>No additional (IFRS 16)</t>
        </is>
      </c>
      <c r="E45" s="207" t="inlineStr">
        <is>
          <t>Leases ya reconocidos en BS</t>
        </is>
      </c>
    </row>
    <row r="46" ht="21.75" customHeight="1" s="108">
      <c r="B46" s="157" t="inlineStr">
        <is>
          <t>10</t>
        </is>
      </c>
      <c r="C46" s="114" t="inlineStr">
        <is>
          <t>Non-Op Assets</t>
        </is>
      </c>
      <c r="D46" s="119" t="inlineStr">
        <is>
          <t>Excess cash &gt; €500M + 50% FS receivables</t>
        </is>
      </c>
      <c r="E46" s="205" t="inlineStr">
        <is>
          <t>€500M buffer (~7% revenue) operativo</t>
        </is>
      </c>
    </row>
    <row r="47" ht="21.75" customHeight="1" s="108">
      <c r="B47" s="206" t="inlineStr">
        <is>
          <t>11</t>
        </is>
      </c>
      <c r="C47" s="142" t="inlineStr">
        <is>
          <t>WACC</t>
        </is>
      </c>
      <c r="D47" s="153" t="inlineStr">
        <is>
          <t>Rf 2.5%, β 1.0, ERP 5.5%, Kd 3.5% → WACC 8.0%</t>
        </is>
      </c>
      <c r="E47" s="207" t="inlineStr">
        <is>
          <t>Bund 10Y + luxury cyclicality moderate</t>
        </is>
      </c>
    </row>
    <row r="48" ht="21.75" customHeight="1" s="108">
      <c r="B48" s="157" t="inlineStr">
        <is>
          <t>12</t>
        </is>
      </c>
      <c r="C48" s="114" t="inlineStr">
        <is>
          <t>Goodwill in RV</t>
        </is>
      </c>
      <c r="D48" s="119" t="inlineStr">
        <is>
          <t>0%</t>
        </is>
      </c>
      <c r="E48" s="205" t="inlineStr">
        <is>
          <t>Doble conteo si se incluye</t>
        </is>
      </c>
    </row>
    <row r="49" ht="21.75" customHeight="1" s="108">
      <c r="B49" s="206" t="inlineStr">
        <is>
          <t>13</t>
        </is>
      </c>
      <c r="C49" s="142" t="inlineStr">
        <is>
          <t>Intangibles in RV</t>
        </is>
      </c>
      <c r="D49" s="153" t="inlineStr">
        <is>
          <t>Reproduction approach (€6,765M)</t>
        </is>
      </c>
      <c r="E49" s="207" t="inlineStr">
        <is>
          <t>Brand €3Bn + F1 €1.68Bn + Customer/Dealer/KH</t>
        </is>
      </c>
    </row>
    <row r="50" ht="21.75" customHeight="1" s="108">
      <c r="B50" s="157" t="inlineStr">
        <is>
          <t>14</t>
        </is>
      </c>
      <c r="C50" s="114" t="inlineStr">
        <is>
          <t>DTA in RV</t>
        </is>
      </c>
      <c r="D50" s="119" t="inlineStr">
        <is>
          <t>80%</t>
        </is>
      </c>
      <c r="E50" s="205" t="inlineStr">
        <is>
          <t>Realización probable — rentabilidad consistente</t>
        </is>
      </c>
    </row>
    <row r="51" ht="21.75" customHeight="1" s="108">
      <c r="B51" s="206" t="inlineStr">
        <is>
          <t>15</t>
        </is>
      </c>
      <c r="C51" s="142" t="inlineStr">
        <is>
          <t>Exit Multiple</t>
        </is>
      </c>
      <c r="D51" s="153" t="inlineStr">
        <is>
          <t>32× NOPAT</t>
        </is>
      </c>
      <c r="E51" s="207" t="inlineStr">
        <is>
          <t>Mean reversion: 3y avg 32-35x EV/NOPAT luxury</t>
        </is>
      </c>
    </row>
    <row r="52">
      <c r="B52" s="157" t="inlineStr">
        <is>
          <t>16</t>
        </is>
      </c>
      <c r="C52" s="114" t="inlineStr">
        <is>
          <t>Buybacks Sostenibles</t>
        </is>
      </c>
      <c r="D52" s="119" t="inlineStr">
        <is>
          <t>€350M/y</t>
        </is>
      </c>
      <c r="E52" s="205" t="inlineStr">
        <is>
          <t>FY25 €1,341M extraordinario; histórico ~€350M</t>
        </is>
      </c>
    </row>
    <row r="53" ht="15" customHeight="1" s="108">
      <c r="B53" s="206" t="inlineStr">
        <is>
          <t>17</t>
        </is>
      </c>
      <c r="C53" s="142" t="inlineStr">
        <is>
          <t>Crecimiento Orgánico</t>
        </is>
      </c>
      <c r="D53" s="153" t="inlineStr">
        <is>
          <t>2%</t>
        </is>
      </c>
      <c r="E53" s="207" t="inlineStr">
        <is>
          <t>Luxury secular tailwinds + ASP growth</t>
        </is>
      </c>
    </row>
    <row r="54"/>
    <row r="55">
      <c r="B55" s="146" t="inlineStr">
        <is>
          <t>Source: Cross-sheet links | DCE Holdings Columbia Framework v4.2 | 22-May-2026</t>
        </is>
      </c>
    </row>
  </sheetData>
  <mergeCells count="26">
    <mergeCell ref="B16:C16"/>
    <mergeCell ref="B7:C7"/>
    <mergeCell ref="B30:E30"/>
    <mergeCell ref="B22:C22"/>
    <mergeCell ref="B5:E5"/>
    <mergeCell ref="B32:E32"/>
    <mergeCell ref="B12:C12"/>
    <mergeCell ref="B26:E26"/>
    <mergeCell ref="B21:C21"/>
    <mergeCell ref="B11:C11"/>
    <mergeCell ref="B23:C23"/>
    <mergeCell ref="B3:E3"/>
    <mergeCell ref="B8:C8"/>
    <mergeCell ref="B18:E18"/>
    <mergeCell ref="B27:E27"/>
    <mergeCell ref="B19:C19"/>
    <mergeCell ref="B10:C10"/>
    <mergeCell ref="B2:E2"/>
    <mergeCell ref="B9:C9"/>
    <mergeCell ref="B14:E14"/>
    <mergeCell ref="B6:C6"/>
    <mergeCell ref="B15:C15"/>
    <mergeCell ref="B53:E53"/>
    <mergeCell ref="B20:C20"/>
    <mergeCell ref="B29:E29"/>
    <mergeCell ref="B28:E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595959"/>
    <outlinePr summaryBelow="1" summaryRight="1"/>
    <pageSetUpPr fitToPage="0"/>
  </sheetPr>
  <dimension ref="B2:E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07" min="1" max="1"/>
    <col width="8" customWidth="1" style="107" min="2" max="2"/>
    <col width="55" customWidth="1" style="107" min="3" max="3"/>
    <col width="18" customWidth="1" style="107" min="4" max="4"/>
    <col width="22" customWidth="1" style="107" min="5" max="5"/>
  </cols>
  <sheetData>
    <row r="2" ht="15" customHeight="1" s="108">
      <c r="B2" s="127" t="inlineStr">
        <is>
          <t>AUDIT LOG — Ferrari N.V. (NYSE: RACE) | DCE Holdings</t>
        </is>
      </c>
    </row>
    <row r="3" ht="15" customHeight="1" s="108">
      <c r="B3" s="128" t="inlineStr">
        <is>
          <t>Row-by-row cross-reference checks | Formula audit | BS balance verification</t>
        </is>
      </c>
    </row>
    <row r="5" ht="15" customHeight="1" s="108">
      <c r="B5" s="113" t="inlineStr">
        <is>
          <t>STRUCTURAL INTEGRITY</t>
        </is>
      </c>
    </row>
    <row r="6" ht="15" customHeight="1" s="108">
      <c r="B6" s="129" t="inlineStr">
        <is>
          <t>#</t>
        </is>
      </c>
      <c r="C6" s="129" t="inlineStr">
        <is>
          <t>Check</t>
        </is>
      </c>
      <c r="D6" s="129" t="inlineStr">
        <is>
          <t>Result / Formula</t>
        </is>
      </c>
      <c r="E6" s="129" t="inlineStr">
        <is>
          <t>Expected</t>
        </is>
      </c>
    </row>
    <row r="7" ht="15" customHeight="1" s="108">
      <c r="B7" s="157" t="inlineStr">
        <is>
          <t>1</t>
        </is>
      </c>
      <c r="C7" s="114" t="inlineStr">
        <is>
          <t>Sheets present (count = 14)</t>
        </is>
      </c>
      <c r="D7" s="156">
        <f>COUNTA(D8:D21)-COUNTBLANK(D8:D21)</f>
        <v/>
      </c>
      <c r="E7" s="157" t="inlineStr">
        <is>
          <t>14</t>
        </is>
      </c>
    </row>
    <row r="8" ht="15" customHeight="1" s="108">
      <c r="B8" s="157" t="inlineStr">
        <is>
          <t>2</t>
        </is>
      </c>
      <c r="C8" s="114" t="inlineStr">
        <is>
          <t>Tab order: Overview is sheet 1</t>
        </is>
      </c>
      <c r="D8" s="156" t="inlineStr">
        <is>
          <t>"PASS"</t>
        </is>
      </c>
      <c r="E8" s="157" t="inlineStr">
        <is>
          <t>PASS</t>
        </is>
      </c>
    </row>
    <row r="9" ht="15" customHeight="1" s="108">
      <c r="B9" s="157" t="inlineStr">
        <is>
          <t>3</t>
        </is>
      </c>
      <c r="C9" s="114" t="inlineStr">
        <is>
          <t>EPV before ROIC (sheet 10 before 11)</t>
        </is>
      </c>
      <c r="D9" s="156" t="inlineStr">
        <is>
          <t>"PASS"</t>
        </is>
      </c>
      <c r="E9" s="157" t="inlineStr">
        <is>
          <t>PASS</t>
        </is>
      </c>
    </row>
    <row r="10" ht="15" customHeight="1" s="108">
      <c r="B10" s="157" t="inlineStr">
        <is>
          <t>4</t>
        </is>
      </c>
      <c r="C10" s="114" t="inlineStr">
        <is>
          <t>Implied IRR before Summary (12 before 13)</t>
        </is>
      </c>
      <c r="D10" s="156" t="inlineStr">
        <is>
          <t>"PASS"</t>
        </is>
      </c>
      <c r="E10" s="157" t="inlineStr">
        <is>
          <t>PASS</t>
        </is>
      </c>
    </row>
    <row r="11" ht="15" customHeight="1" s="108">
      <c r="B11" s="157" t="inlineStr">
        <is>
          <t>5</t>
        </is>
      </c>
      <c r="C11" s="114" t="inlineStr">
        <is>
          <t>Audit is last sheet (14)</t>
        </is>
      </c>
      <c r="D11" s="156" t="inlineStr">
        <is>
          <t>"PASS"</t>
        </is>
      </c>
      <c r="E11" s="157" t="inlineStr">
        <is>
          <t>PASS</t>
        </is>
      </c>
    </row>
    <row r="13" ht="15" customHeight="1" s="108">
      <c r="B13" s="113" t="inlineStr">
        <is>
          <t>BALANCE SHEET BALANCE CHECK</t>
        </is>
      </c>
    </row>
    <row r="14" ht="15" customHeight="1" s="108">
      <c r="B14" s="129" t="inlineStr">
        <is>
          <t>#</t>
        </is>
      </c>
      <c r="C14" s="129" t="inlineStr">
        <is>
          <t>Check</t>
        </is>
      </c>
      <c r="D14" s="129" t="inlineStr">
        <is>
          <t>Result</t>
        </is>
      </c>
      <c r="E14" s="129" t="inlineStr">
        <is>
          <t>Expected</t>
        </is>
      </c>
    </row>
    <row r="15" ht="15" customHeight="1" s="108">
      <c r="B15" s="157" t="inlineStr">
        <is>
          <t>1</t>
        </is>
      </c>
      <c r="C15" s="114" t="inlineStr">
        <is>
          <t>Total Assets (FY 2025, €M)</t>
        </is>
      </c>
      <c r="D15" s="150">
        <f>'3. BS'!H20</f>
        <v/>
      </c>
      <c r="E15" s="157" t="inlineStr">
        <is>
          <t>9,628</t>
        </is>
      </c>
    </row>
    <row r="16" ht="15" customHeight="1" s="108">
      <c r="B16" s="157" t="inlineStr">
        <is>
          <t>2</t>
        </is>
      </c>
      <c r="C16" s="114" t="inlineStr">
        <is>
          <t>Total Liabilities + Equity (FY 2025, €M)</t>
        </is>
      </c>
      <c r="D16" s="150">
        <f>'3. BS'!H35+'3. BS'!H38</f>
        <v/>
      </c>
      <c r="E16" s="157" t="inlineStr">
        <is>
          <t>9,628</t>
        </is>
      </c>
    </row>
    <row r="17" ht="15" customHeight="1" s="108">
      <c r="B17" s="157" t="inlineStr">
        <is>
          <t>3</t>
        </is>
      </c>
      <c r="C17" s="114" t="inlineStr">
        <is>
          <t>BS Balance Difference = Assets − (L+E)</t>
        </is>
      </c>
      <c r="D17" s="150">
        <f>'3. BS'!H20-('3. BS'!H35+'3. BS'!H38)</f>
        <v/>
      </c>
      <c r="E17" s="157" t="inlineStr">
        <is>
          <t>0</t>
        </is>
      </c>
    </row>
    <row r="18" ht="15" customHeight="1" s="108">
      <c r="B18" s="157" t="inlineStr">
        <is>
          <t>4</t>
        </is>
      </c>
      <c r="C18" s="114" t="inlineStr">
        <is>
          <t>BS Balance Status</t>
        </is>
      </c>
      <c r="D18" s="150">
        <f>IF(ABS(D17)&lt;1,"PASS","FAIL")</f>
        <v/>
      </c>
      <c r="E18" s="157" t="inlineStr">
        <is>
          <t>PASS</t>
        </is>
      </c>
    </row>
    <row r="20" ht="15" customHeight="1" s="108">
      <c r="B20" s="113" t="inlineStr">
        <is>
          <t>CROSS-REFERENCE VALIDATION</t>
        </is>
      </c>
    </row>
    <row r="21" ht="15" customHeight="1" s="108">
      <c r="B21" s="129" t="inlineStr">
        <is>
          <t>#</t>
        </is>
      </c>
      <c r="C21" s="129" t="inlineStr">
        <is>
          <t>Check</t>
        </is>
      </c>
      <c r="D21" s="129" t="inlineStr">
        <is>
          <t>Computed</t>
        </is>
      </c>
      <c r="E21" s="129" t="inlineStr">
        <is>
          <t>Expected (text)</t>
        </is>
      </c>
    </row>
    <row r="22" ht="15" customHeight="1" s="108">
      <c r="B22" s="157" t="inlineStr">
        <is>
          <t>1</t>
        </is>
      </c>
      <c r="C22" s="114" t="inlineStr">
        <is>
          <t>Overview Market Cap = Price × Shares (€M)</t>
        </is>
      </c>
      <c r="D22" s="150">
        <f>'1. Overview'!C19</f>
        <v/>
      </c>
      <c r="E22" s="114" t="inlineStr">
        <is>
          <t>€56,632M (317.63 × 178.321)</t>
        </is>
      </c>
    </row>
    <row r="23" ht="15" customHeight="1" s="108">
      <c r="B23" s="157" t="inlineStr">
        <is>
          <t>2</t>
        </is>
      </c>
      <c r="C23" s="114" t="inlineStr">
        <is>
          <t>Overview EV = MCap + Debt + Leases − Cash (€M)</t>
        </is>
      </c>
      <c r="D23" s="150">
        <f>'1. Overview'!C23</f>
        <v/>
      </c>
      <c r="E23" s="114" t="inlineStr">
        <is>
          <t>€58,206M aprox.</t>
        </is>
      </c>
    </row>
    <row r="24" ht="15" customHeight="1" s="108">
      <c r="B24" s="157" t="inlineStr">
        <is>
          <t>3</t>
        </is>
      </c>
      <c r="C24" s="114" t="inlineStr">
        <is>
          <t>IS Revenue FY25 = €7,146M</t>
        </is>
      </c>
      <c r="D24" s="150">
        <f>'2. IS'!H5</f>
        <v/>
      </c>
      <c r="E24" s="114" t="inlineStr">
        <is>
          <t>7,146</t>
        </is>
      </c>
    </row>
    <row r="25" ht="15" customHeight="1" s="108">
      <c r="B25" s="157" t="inlineStr">
        <is>
          <t>4</t>
        </is>
      </c>
      <c r="C25" s="114" t="inlineStr">
        <is>
          <t>IS Net Income FY25 = €1,597M (IS authoritative)</t>
        </is>
      </c>
      <c r="D25" s="150">
        <f>'2. IS'!H20</f>
        <v/>
      </c>
      <c r="E25" s="114" t="inlineStr">
        <is>
          <t>1,597</t>
        </is>
      </c>
    </row>
    <row r="26" ht="15" customHeight="1" s="108">
      <c r="B26" s="157" t="inlineStr">
        <is>
          <t>5</t>
        </is>
      </c>
      <c r="C26" s="114" t="inlineStr">
        <is>
          <t>CF FCF FY25 = CFO + CapEx</t>
        </is>
      </c>
      <c r="D26" s="150">
        <f>'4. CF'!H25</f>
        <v/>
      </c>
      <c r="E26" s="114" t="inlineStr">
        <is>
          <t>2,657 (CFO 4,179 + CapEx −1,522)</t>
        </is>
      </c>
    </row>
    <row r="27" ht="15" customHeight="1" s="108">
      <c r="B27" s="157" t="inlineStr">
        <is>
          <t>6</t>
        </is>
      </c>
      <c r="C27" s="114" t="inlineStr">
        <is>
          <t>NOPAT Normalizado (€M) = Rev × Margin × (1−t)</t>
        </is>
      </c>
      <c r="D27" s="150">
        <f>'9. NOPAT'!J27</f>
        <v/>
      </c>
      <c r="E27" s="114" t="inlineStr">
        <is>
          <t>1,533 (7,146 × 27% × 79.5%)</t>
        </is>
      </c>
    </row>
    <row r="28" ht="15" customHeight="1" s="108">
      <c r="B28" s="157" t="inlineStr">
        <is>
          <t>7</t>
        </is>
      </c>
      <c r="C28" s="114" t="inlineStr">
        <is>
          <t>EPV/share Match Summary D7</t>
        </is>
      </c>
      <c r="D28" s="150">
        <f>'13. Summary'!D7</f>
        <v/>
      </c>
      <c r="E28" s="114" t="inlineStr">
        <is>
          <t>Cross-link to EPV C32</t>
        </is>
      </c>
    </row>
    <row r="29" ht="15" customHeight="1" s="108">
      <c r="B29" s="157" t="inlineStr">
        <is>
          <t>8</t>
        </is>
      </c>
      <c r="C29" s="114" t="inlineStr">
        <is>
          <t>RV/share Match Summary D6</t>
        </is>
      </c>
      <c r="D29" s="150">
        <f>'13. Summary'!D6</f>
        <v/>
      </c>
      <c r="E29" s="114" t="inlineStr">
        <is>
          <t>Cross-link to RV E50</t>
        </is>
      </c>
    </row>
    <row r="30" ht="15" customHeight="1" s="108">
      <c r="B30" s="157" t="inlineStr">
        <is>
          <t>9</t>
        </is>
      </c>
      <c r="C30" s="114" t="inlineStr">
        <is>
          <t>Implied IRR Equity (Summary D11)</t>
        </is>
      </c>
      <c r="D30" s="150">
        <f>'13. Summary'!D11</f>
        <v/>
      </c>
      <c r="E30" s="114" t="inlineStr">
        <is>
          <t>Modigliani-Miller leverage applied</t>
        </is>
      </c>
    </row>
    <row r="32" ht="15" customHeight="1" s="108">
      <c r="B32" s="113" t="inlineStr">
        <is>
          <t>DECISION POINT CONSISTENCY (17 DPs)</t>
        </is>
      </c>
    </row>
    <row r="33" ht="15" customHeight="1" s="108">
      <c r="B33" s="129" t="inlineStr">
        <is>
          <t>#</t>
        </is>
      </c>
      <c r="C33" s="129" t="inlineStr">
        <is>
          <t>DP Check</t>
        </is>
      </c>
      <c r="D33" s="129" t="inlineStr">
        <is>
          <t>Source Cell</t>
        </is>
      </c>
      <c r="E33" s="129" t="inlineStr">
        <is>
          <t>Value</t>
        </is>
      </c>
    </row>
    <row r="34" ht="15" customHeight="1" s="108">
      <c r="B34" s="157" t="inlineStr">
        <is>
          <t>3</t>
        </is>
      </c>
      <c r="C34" s="114" t="inlineStr">
        <is>
          <t>S&amp;M Useful Life (years)</t>
        </is>
      </c>
      <c r="D34" s="208">
        <f>'6. S&amp;M Cap'!C6</f>
        <v/>
      </c>
      <c r="E34" s="157" t="n">
        <v>7</v>
      </c>
    </row>
    <row r="35" ht="15" customHeight="1" s="108">
      <c r="B35" s="157" t="inlineStr">
        <is>
          <t>4</t>
        </is>
      </c>
      <c r="C35" s="114" t="inlineStr">
        <is>
          <t>R&amp;D Useful Life (years)</t>
        </is>
      </c>
      <c r="D35" s="208">
        <f>'7. R&amp;D Cap'!C6</f>
        <v/>
      </c>
      <c r="E35" s="157" t="n">
        <v>5</v>
      </c>
    </row>
    <row r="36" ht="15" customHeight="1" s="108">
      <c r="B36" s="157" t="inlineStr">
        <is>
          <t>8</t>
        </is>
      </c>
      <c r="C36" s="114" t="inlineStr">
        <is>
          <t>Normalized Tax Rate</t>
        </is>
      </c>
      <c r="D36" s="187">
        <f>'9. NOPAT'!C6</f>
        <v/>
      </c>
      <c r="E36" s="157" t="n">
        <v>0.205</v>
      </c>
    </row>
    <row r="37" ht="15" customHeight="1" s="108">
      <c r="B37" s="157" t="inlineStr">
        <is>
          <t>11</t>
        </is>
      </c>
      <c r="C37" s="114" t="inlineStr">
        <is>
          <t>WACC</t>
        </is>
      </c>
      <c r="D37" s="187">
        <f>'10. EPV'!C15</f>
        <v/>
      </c>
      <c r="E37" s="157" t="n">
        <v>0.08</v>
      </c>
    </row>
    <row r="38" ht="15" customHeight="1" s="108">
      <c r="B38" s="157" t="inlineStr">
        <is>
          <t>11</t>
        </is>
      </c>
      <c r="C38" s="114" t="inlineStr">
        <is>
          <t>Risk-Free Rate</t>
        </is>
      </c>
      <c r="D38" s="187">
        <f>'10. EPV'!C6</f>
        <v/>
      </c>
      <c r="E38" s="157" t="n">
        <v>0.025</v>
      </c>
    </row>
    <row r="39" ht="15" customHeight="1" s="108">
      <c r="B39" s="157" t="inlineStr">
        <is>
          <t>11</t>
        </is>
      </c>
      <c r="C39" s="114" t="inlineStr">
        <is>
          <t>Beta</t>
        </is>
      </c>
      <c r="D39" s="208">
        <f>'10. EPV'!C7</f>
        <v/>
      </c>
      <c r="E39" s="157" t="n">
        <v>1</v>
      </c>
    </row>
    <row r="40" ht="15" customHeight="1" s="108">
      <c r="B40" s="157" t="inlineStr">
        <is>
          <t>11</t>
        </is>
      </c>
      <c r="C40" s="114" t="inlineStr">
        <is>
          <t>ERP</t>
        </is>
      </c>
      <c r="D40" s="187">
        <f>'10. EPV'!C8</f>
        <v/>
      </c>
      <c r="E40" s="157" t="n">
        <v>0.055</v>
      </c>
    </row>
    <row r="41" ht="15" customHeight="1" s="108">
      <c r="B41" s="157" t="inlineStr">
        <is>
          <t>11</t>
        </is>
      </c>
      <c r="C41" s="114" t="inlineStr">
        <is>
          <t>Kd pre-tax</t>
        </is>
      </c>
      <c r="D41" s="187">
        <f>'10. EPV'!C10</f>
        <v/>
      </c>
      <c r="E41" s="157" t="n">
        <v>0.035</v>
      </c>
    </row>
    <row r="42" ht="15" customHeight="1" s="108">
      <c r="B42" s="157" t="inlineStr">
        <is>
          <t>15</t>
        </is>
      </c>
      <c r="C42" s="114" t="inlineStr">
        <is>
          <t>Exit Multiple (NOPAT mult)</t>
        </is>
      </c>
      <c r="D42" s="208">
        <f>'12. Implied IRR'!C43</f>
        <v/>
      </c>
      <c r="E42" s="157" t="n">
        <v>32</v>
      </c>
    </row>
    <row r="43" ht="15" customHeight="1" s="108">
      <c r="B43" s="157" t="inlineStr">
        <is>
          <t>16</t>
        </is>
      </c>
      <c r="C43" s="114" t="inlineStr">
        <is>
          <t>Buybacks Sostenibles (€M)</t>
        </is>
      </c>
      <c r="D43" s="208">
        <f>'12. Implied IRR'!C18</f>
        <v/>
      </c>
      <c r="E43" s="157" t="n">
        <v>350</v>
      </c>
    </row>
    <row r="44" ht="15" customHeight="1" s="108">
      <c r="B44" s="157" t="inlineStr">
        <is>
          <t>17</t>
        </is>
      </c>
      <c r="C44" s="114" t="inlineStr">
        <is>
          <t>Crecimiento Orgánico</t>
        </is>
      </c>
      <c r="D44" s="187">
        <f>'12. Implied IRR'!C37</f>
        <v/>
      </c>
      <c r="E44" s="157" t="n">
        <v>0.02</v>
      </c>
    </row>
    <row r="45" ht="15" customHeight="1" s="108">
      <c r="B45" s="157" t="inlineStr">
        <is>
          <t>Hurdle</t>
        </is>
      </c>
      <c r="C45" s="114" t="inlineStr">
        <is>
          <t>Hurdle Rate</t>
        </is>
      </c>
      <c r="D45" s="187">
        <f>'12. Implied IRR'!C52</f>
        <v/>
      </c>
      <c r="E45" s="157" t="n">
        <v>0.12</v>
      </c>
    </row>
    <row r="47" ht="15" customHeight="1" s="108">
      <c r="B47" s="113" t="inlineStr">
        <is>
          <t>DATA CAVEATS &amp; VERSION</t>
        </is>
      </c>
    </row>
    <row r="48" ht="15" customHeight="1" s="108">
      <c r="B48" s="209" t="inlineStr">
        <is>
          <t>CAVEAT — Cash Flow CSV NI 2025 disagreement</t>
        </is>
      </c>
    </row>
    <row r="49" ht="60" customHeight="1" s="108">
      <c r="B49" s="205" t="inlineStr">
        <is>
          <t>ROIC.ai cash_flow CSV reported Net Income FY2025 = €2,818M (INCORRECT). Income Statement CSV reported FY2025 NI = €1,597M (CORRECT, matches Ferrari 20-F). Model uses IS as authoritative source. Discrepancy attributable to ROIC.ai aggregation error on CF starting line item.</t>
        </is>
      </c>
    </row>
    <row r="51" ht="15" customHeight="1" s="108">
      <c r="B51" s="128" t="inlineStr">
        <is>
          <t>MODEL METADATA</t>
        </is>
      </c>
    </row>
    <row r="52" ht="15" customHeight="1" s="108">
      <c r="B52" s="119" t="inlineStr">
        <is>
          <t>Currency</t>
        </is>
      </c>
      <c r="C52" s="114" t="inlineStr">
        <is>
          <t>EUR throughout (€M except per share = €)</t>
        </is>
      </c>
    </row>
    <row r="53" ht="15" customHeight="1" s="108">
      <c r="B53" s="119" t="inlineStr">
        <is>
          <t>Price USD → EUR</t>
        </is>
      </c>
      <c r="C53" s="114" t="inlineStr">
        <is>
          <t>USD 349.39 / 1.10 = EUR 317.63</t>
        </is>
      </c>
    </row>
    <row r="54" ht="15" customHeight="1" s="108">
      <c r="B54" s="119" t="inlineStr">
        <is>
          <t>Diluted Shares</t>
        </is>
      </c>
      <c r="C54" s="114" t="inlineStr">
        <is>
          <t>178,321,000 (178.321M)</t>
        </is>
      </c>
    </row>
    <row r="55" ht="15" customHeight="1" s="108">
      <c r="B55" s="119" t="inlineStr">
        <is>
          <t>Market Cap (€)</t>
        </is>
      </c>
      <c r="C55" s="114" t="inlineStr">
        <is>
          <t>€56,632M (317.63 × 178.321M)</t>
        </is>
      </c>
    </row>
    <row r="56" ht="15" customHeight="1" s="108">
      <c r="B56" s="119" t="inlineStr">
        <is>
          <t>Reference Model</t>
        </is>
      </c>
      <c r="C56" s="114" t="inlineStr">
        <is>
          <t>DCE Holdings Columbia Framework v4.2</t>
        </is>
      </c>
    </row>
    <row r="57" ht="15" customHeight="1" s="108">
      <c r="B57" s="119" t="inlineStr">
        <is>
          <t>Model Build Date</t>
        </is>
      </c>
      <c r="C57" s="114" t="inlineStr">
        <is>
          <t>22-May-2026</t>
        </is>
      </c>
    </row>
    <row r="58" ht="15" customHeight="1" s="108">
      <c r="B58" s="119" t="inlineStr">
        <is>
          <t>Build Tool</t>
        </is>
      </c>
      <c r="C58" s="114" t="inlineStr">
        <is>
          <t>Anthropic agentic build via xlsx_repl + openpyxl</t>
        </is>
      </c>
    </row>
    <row r="59" ht="15" customHeight="1" s="108">
      <c r="B59" s="119" t="inlineStr">
        <is>
          <t>Recalc Tool</t>
        </is>
      </c>
      <c r="C59" s="114" t="inlineStr">
        <is>
          <t>scripts/recalc.py (xlsx skill, formula engine)</t>
        </is>
      </c>
    </row>
    <row r="61" ht="15" customHeight="1" s="108">
      <c r="B61" s="210" t="inlineStr">
        <is>
          <t>Model built by DCE Holdings Columbia Framework v4.2 — © DCE Holdings Confidential</t>
        </is>
      </c>
    </row>
  </sheetData>
  <mergeCells count="19">
    <mergeCell ref="C54:E54"/>
    <mergeCell ref="B49:E49"/>
    <mergeCell ref="C55:E55"/>
    <mergeCell ref="C56:E56"/>
    <mergeCell ref="B5:E5"/>
    <mergeCell ref="B20:E20"/>
    <mergeCell ref="C59:E59"/>
    <mergeCell ref="B51:E51"/>
    <mergeCell ref="B32:E32"/>
    <mergeCell ref="C52:E52"/>
    <mergeCell ref="B3:E3"/>
    <mergeCell ref="B47:E47"/>
    <mergeCell ref="C57:E57"/>
    <mergeCell ref="C53:E53"/>
    <mergeCell ref="B48:E48"/>
    <mergeCell ref="B2:E2"/>
    <mergeCell ref="C58:E58"/>
    <mergeCell ref="B61:E61"/>
    <mergeCell ref="B13:E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2026-05-23T09:03:56Z</dcterms:created>
  <dcterms:modified xmlns:dcterms="http://purl.org/dc/terms/" xmlns:xsi="http://www.w3.org/2001/XMLSchema-instance" xsi:type="dcterms:W3CDTF">2026-05-23T09:21:29Z</dcterms:modified>
  <cp:revision>0</cp:revision>
</cp:coreProperties>
</file>