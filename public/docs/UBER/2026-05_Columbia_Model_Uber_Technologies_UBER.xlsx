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IS" sheetId="2" state="visible" r:id="rId2"/>
    <sheet xmlns:r="http://schemas.openxmlformats.org/officeDocument/2006/relationships" name="3. BS" sheetId="3" state="visible" r:id="rId3"/>
    <sheet xmlns:r="http://schemas.openxmlformats.org/officeDocument/2006/relationships" name="4. CF" sheetId="4" state="visible" r:id="rId4"/>
    <sheet xmlns:r="http://schemas.openxmlformats.org/officeDocument/2006/relationships" name="5. Health" sheetId="5" state="visible" r:id="rId5"/>
    <sheet xmlns:r="http://schemas.openxmlformats.org/officeDocument/2006/relationships" name="6. S&amp;M Cap" sheetId="6" state="visible" r:id="rId6"/>
    <sheet xmlns:r="http://schemas.openxmlformats.org/officeDocument/2006/relationships" name="7. R&amp;D Cap" sheetId="7" state="visible" r:id="rId7"/>
    <sheet xmlns:r="http://schemas.openxmlformats.org/officeDocument/2006/relationships" name="8. RV" sheetId="8" state="visible" r:id="rId8"/>
    <sheet xmlns:r="http://schemas.openxmlformats.org/officeDocument/2006/relationships" name="9. NOPAT" sheetId="9" state="visible" r:id="rId9"/>
    <sheet xmlns:r="http://schemas.openxmlformats.org/officeDocument/2006/relationships" name="10. EPV" sheetId="10" state="visible" r:id="rId10"/>
    <sheet xmlns:r="http://schemas.openxmlformats.org/officeDocument/2006/relationships" name="11. ROIC" sheetId="11" state="visible" r:id="rId11"/>
    <sheet xmlns:r="http://schemas.openxmlformats.org/officeDocument/2006/relationships" name="12. Implied IRR" sheetId="12" state="visible" r:id="rId12"/>
    <sheet xmlns:r="http://schemas.openxmlformats.org/officeDocument/2006/relationships" name="13. Summary" sheetId="13" state="visible" r:id="rId13"/>
    <sheet xmlns:r="http://schemas.openxmlformats.org/officeDocument/2006/relationships" name="14. Audit" sheetId="14" state="visible" r:id="rId14"/>
    <sheet xmlns:r="http://schemas.openxmlformats.org/officeDocument/2006/relationships" name="15. Auto-Inf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;(#,##0);-"/>
    <numFmt numFmtId="165" formatCode="0.0%"/>
    <numFmt numFmtId="166" formatCode="$#,##0.00"/>
    <numFmt numFmtId="167" formatCode="0.0x"/>
    <numFmt numFmtId="168" formatCode="#,##0.00;(#,##0.00);-"/>
    <numFmt numFmtId="169" formatCode="0.00&quot;x&quot;"/>
    <numFmt numFmtId="170" formatCode="&quot;PASS: &quot;0"/>
    <numFmt numFmtId="171" formatCode="&quot;MONITOR: &quot;0"/>
    <numFmt numFmtId="172" formatCode="0.0&quot;x&quot;"/>
    <numFmt numFmtId="173" formatCode="&quot;$&quot;#,##0.00"/>
  </numFmts>
  <fonts count="27">
    <font>
      <name val="Calibri"/>
      <family val="2"/>
      <color theme="1"/>
      <sz val="11"/>
      <scheme val="minor"/>
    </font>
    <font>
      <name val="Calibri"/>
      <b val="1"/>
      <color rgb="FF1B2642"/>
      <sz val="14"/>
    </font>
    <font>
      <name val="Calibri"/>
      <b val="1"/>
      <color rgb="FFB88B47"/>
      <sz val="11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color rgb="FF0000FF"/>
      <sz val="10"/>
    </font>
    <font>
      <name val="Calibri"/>
      <i val="1"/>
      <color rgb="FF666666"/>
      <sz val="9"/>
    </font>
    <font>
      <name val="Calibri"/>
      <color rgb="FF0563C1"/>
      <sz val="10"/>
      <u val="single"/>
    </font>
    <font>
      <name val="Calibri"/>
      <i val="1"/>
      <color rgb="FF606060"/>
      <sz val="8"/>
    </font>
    <font>
      <name val="Calibri"/>
      <b val="1"/>
      <color rgb="FF1B2642"/>
      <sz val="12"/>
    </font>
    <font>
      <name val="Calibri"/>
      <b val="1"/>
      <color rgb="FF000000"/>
      <sz val="10"/>
    </font>
    <font>
      <name val="Calibri"/>
      <b val="1"/>
      <color rgb="FF008000"/>
      <sz val="10"/>
    </font>
    <font>
      <name val="Calibri"/>
      <color rgb="FFB88B47"/>
      <sz val="10"/>
    </font>
    <font>
      <name val="Calibri"/>
      <b val="1"/>
      <color rgb="FFB88B47"/>
      <sz val="10"/>
    </font>
    <font>
      <name val="Calibri"/>
      <b val="1"/>
      <color rgb="FFCC0000"/>
      <sz val="10"/>
    </font>
    <font>
      <name val="Calibri"/>
      <color rgb="FF008000"/>
      <sz val="10"/>
    </font>
    <font>
      <color rgb="FF008000"/>
      <sz val="10"/>
    </font>
    <font>
      <color rgb="FF0000FF"/>
      <sz val="10"/>
    </font>
    <font>
      <i val="1"/>
      <color rgb="FF606060"/>
      <sz val="9"/>
    </font>
    <font>
      <b val="1"/>
      <color rgb="FF008000"/>
      <sz val="10"/>
    </font>
    <font>
      <color rgb="FF333333"/>
      <sz val="9"/>
    </font>
    <font>
      <b val="1"/>
      <color rgb="FF1B2642"/>
      <sz val="10"/>
    </font>
    <font>
      <b val="1"/>
      <color rgb="FFB88B47"/>
      <sz val="10"/>
    </font>
    <font>
      <b val="1"/>
      <color rgb="FF008000"/>
      <sz val="12"/>
    </font>
    <font>
      <name val="Courier New"/>
      <color rgb="FF333333"/>
      <sz val="9"/>
    </font>
    <font>
      <name val="Calibri"/>
      <b val="1"/>
      <color rgb="FF0000FF"/>
      <sz val="10"/>
    </font>
    <font>
      <name val="Calibri"/>
      <b val="1"/>
      <color rgb="FF1B2642"/>
      <sz val="11"/>
    </font>
  </fonts>
  <fills count="8">
    <fill>
      <patternFill/>
    </fill>
    <fill>
      <patternFill patternType="gray125"/>
    </fill>
    <fill>
      <patternFill patternType="solid">
        <fgColor rgb="FF1B2642"/>
      </patternFill>
    </fill>
    <fill>
      <patternFill patternType="solid">
        <fgColor rgb="FFB88B47"/>
      </patternFill>
    </fill>
    <fill>
      <patternFill patternType="solid">
        <fgColor rgb="FFBDD7EE"/>
      </patternFill>
    </fill>
    <fill>
      <patternFill patternType="solid">
        <fgColor rgb="FFD6DCE4"/>
      </patternFill>
    </fill>
    <fill>
      <patternFill patternType="solid">
        <fgColor rgb="FFE6E6E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bottom style="thin">
        <color rgb="00C3C7D2"/>
      </bottom>
    </border>
    <border>
      <top style="thin">
        <color rgb="001B2642"/>
      </top>
      <bottom style="double">
        <color rgb="001B2642"/>
      </bottom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4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 indent="2"/>
    </xf>
    <xf numFmtId="164" fontId="5" fillId="6" borderId="0" applyAlignment="1" pivotButton="0" quotePrefix="0" xfId="0">
      <alignment horizontal="right" vertical="center"/>
    </xf>
    <xf numFmtId="0" fontId="10" fillId="0" borderId="0" pivotButton="0" quotePrefix="0" xfId="0"/>
    <xf numFmtId="0" fontId="5" fillId="0" borderId="0" applyAlignment="1" pivotButton="0" quotePrefix="0" xfId="0">
      <alignment horizontal="left" vertical="center" indent="2"/>
    </xf>
    <xf numFmtId="0" fontId="10" fillId="7" borderId="2" applyAlignment="1" pivotButton="0" quotePrefix="0" xfId="0">
      <alignment horizontal="left" vertical="center"/>
    </xf>
    <xf numFmtId="164" fontId="10" fillId="7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165" fontId="4" fillId="6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168" fontId="5" fillId="6" borderId="0" applyAlignment="1" pivotButton="0" quotePrefix="0" xfId="0">
      <alignment horizontal="right" vertical="center"/>
    </xf>
    <xf numFmtId="164" fontId="4" fillId="6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/>
    </xf>
    <xf numFmtId="169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5" fontId="4" fillId="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2" fontId="4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/>
    </xf>
    <xf numFmtId="170" fontId="11" fillId="7" borderId="0" applyAlignment="1" pivotButton="0" quotePrefix="0" xfId="0">
      <alignment horizontal="center" vertical="center"/>
    </xf>
    <xf numFmtId="171" fontId="13" fillId="7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0" pivotButton="0" quotePrefix="0" xfId="0"/>
    <xf numFmtId="1" fontId="5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10" fillId="4" borderId="0" pivotButton="0" quotePrefix="0" xfId="0"/>
    <xf numFmtId="164" fontId="5" fillId="4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10" fillId="5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2"/>
    </xf>
    <xf numFmtId="0" fontId="4" fillId="6" borderId="0" applyAlignment="1" pivotButton="0" quotePrefix="0" xfId="0">
      <alignment horizontal="left" vertical="center" indent="2"/>
    </xf>
    <xf numFmtId="0" fontId="0" fillId="4" borderId="0" pivotButton="0" quotePrefix="0" xfId="0"/>
    <xf numFmtId="168" fontId="5" fillId="0" borderId="0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0" fontId="4" fillId="4" borderId="0" pivotButton="0" quotePrefix="0" xfId="0"/>
    <xf numFmtId="164" fontId="15" fillId="4" borderId="0" applyAlignment="1" pivotButton="0" quotePrefix="0" xfId="0">
      <alignment horizontal="right" vertical="center"/>
    </xf>
    <xf numFmtId="164" fontId="15" fillId="0" borderId="0" applyAlignment="1" pivotButton="0" quotePrefix="0" xfId="0">
      <alignment horizontal="right" vertical="center"/>
    </xf>
    <xf numFmtId="164" fontId="10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2"/>
    </xf>
    <xf numFmtId="0" fontId="10" fillId="7" borderId="2" pivotButton="0" quotePrefix="0" xfId="0"/>
    <xf numFmtId="165" fontId="6" fillId="0" borderId="0" applyAlignment="1" pivotButton="0" quotePrefix="0" xfId="0">
      <alignment horizontal="right" vertical="center"/>
    </xf>
    <xf numFmtId="2" fontId="5" fillId="0" borderId="0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0" fontId="6" fillId="4" borderId="0" pivotButton="0" quotePrefix="0" xfId="0"/>
    <xf numFmtId="165" fontId="15" fillId="0" borderId="0" applyAlignment="1" pivotButton="0" quotePrefix="0" xfId="0">
      <alignment horizontal="right" vertical="center"/>
    </xf>
    <xf numFmtId="165" fontId="10" fillId="7" borderId="2" applyAlignment="1" pivotButton="0" quotePrefix="0" xfId="0">
      <alignment horizontal="right" vertical="center"/>
    </xf>
    <xf numFmtId="0" fontId="6" fillId="7" borderId="2" pivotButton="0" quotePrefix="0" xfId="0"/>
    <xf numFmtId="0" fontId="0" fillId="7" borderId="2" pivotButton="0" quotePrefix="0" xfId="0"/>
    <xf numFmtId="0" fontId="6" fillId="4" borderId="1" pivotButton="0" quotePrefix="0" xfId="0"/>
    <xf numFmtId="0" fontId="0" fillId="4" borderId="1" pivotButton="0" quotePrefix="0" xfId="0"/>
    <xf numFmtId="166" fontId="10" fillId="7" borderId="2" applyAlignment="1" pivotButton="0" quotePrefix="0" xfId="0">
      <alignment horizontal="right" vertical="center"/>
    </xf>
    <xf numFmtId="165" fontId="10" fillId="5" borderId="0" applyAlignment="1" pivotButton="0" quotePrefix="0" xfId="0">
      <alignment horizontal="center" vertical="center"/>
    </xf>
    <xf numFmtId="166" fontId="4" fillId="6" borderId="0" applyAlignment="1" pivotButton="0" quotePrefix="0" xfId="0">
      <alignment horizontal="right" vertical="center"/>
    </xf>
    <xf numFmtId="166" fontId="10" fillId="4" borderId="0" applyAlignment="1" pivotButton="0" quotePrefix="0" xfId="0">
      <alignment horizontal="right" vertical="center"/>
    </xf>
    <xf numFmtId="165" fontId="16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164" fontId="17" fillId="0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0" fontId="18" fillId="0" borderId="0" pivotButton="0" quotePrefix="0" xfId="0"/>
    <xf numFmtId="0" fontId="0" fillId="7" borderId="0" pivotButton="0" quotePrefix="0" xfId="0"/>
    <xf numFmtId="164" fontId="19" fillId="4" borderId="0" applyAlignment="1" pivotButton="0" quotePrefix="0" xfId="0">
      <alignment horizontal="right" vertical="center"/>
    </xf>
    <xf numFmtId="172" fontId="4" fillId="0" borderId="0" applyAlignment="1" pivotButton="0" quotePrefix="0" xfId="0">
      <alignment horizontal="right" vertical="center"/>
    </xf>
    <xf numFmtId="165" fontId="10" fillId="4" borderId="0" applyAlignment="1" pivotButton="0" quotePrefix="0" xfId="0">
      <alignment horizontal="right" vertical="center"/>
    </xf>
    <xf numFmtId="165" fontId="17" fillId="0" borderId="0" applyAlignment="1" pivotButton="0" quotePrefix="0" xfId="0">
      <alignment horizontal="right" vertical="center"/>
    </xf>
    <xf numFmtId="1" fontId="17" fillId="0" borderId="0" applyAlignment="1" pivotButton="0" quotePrefix="0" xfId="0">
      <alignment horizontal="right" vertical="center"/>
    </xf>
    <xf numFmtId="172" fontId="17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6" fontId="16" fillId="0" borderId="0" applyAlignment="1" pivotButton="0" quotePrefix="0" xfId="0">
      <alignment horizontal="right" vertical="center"/>
    </xf>
    <xf numFmtId="0" fontId="20" fillId="0" borderId="0" pivotButton="0" quotePrefix="0" xfId="0"/>
    <xf numFmtId="0" fontId="4" fillId="6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wrapText="1"/>
    </xf>
    <xf numFmtId="164" fontId="4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22" fillId="3" borderId="0" applyAlignment="1" pivotButton="0" quotePrefix="0" xfId="0">
      <alignment horizontal="left" vertical="top" wrapText="1"/>
    </xf>
    <xf numFmtId="0" fontId="23" fillId="0" borderId="0" applyAlignment="1" pivotButton="0" quotePrefix="0" xfId="0">
      <alignment horizontal="left" vertical="center"/>
    </xf>
    <xf numFmtId="0" fontId="24" fillId="0" borderId="0" pivotButton="0" quotePrefix="0" xfId="0"/>
    <xf numFmtId="164" fontId="26" fillId="7" borderId="2" applyAlignment="1" pivotButton="0" quotePrefix="0" xfId="0">
      <alignment horizontal="right" vertical="center"/>
    </xf>
    <xf numFmtId="173" fontId="26" fillId="4" borderId="1" applyAlignment="1" pivotButton="0" quotePrefix="0" xfId="0">
      <alignment horizontal="right" vertical="center"/>
    </xf>
    <xf numFmtId="165" fontId="25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2642"/>
    <outlinePr summaryBelow="1" summaryRight="1"/>
    <pageSetUpPr/>
  </sheetPr>
  <dimension ref="B1:E62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22" customWidth="1" min="4" max="4"/>
    <col width="18" customWidth="1" min="5" max="5"/>
  </cols>
  <sheetData>
    <row r="1" ht="6" customHeight="1">
      <c r="B1" s="1" t="n"/>
      <c r="C1" s="1" t="n"/>
      <c r="D1" s="1" t="n"/>
      <c r="E1" s="1" t="n"/>
    </row>
    <row r="2" ht="22" customHeight="1">
      <c r="B2" s="2" t="inlineStr">
        <is>
          <t>COLUMBIA VALUATION MODEL — Uber Technologies | DCE Holdings</t>
        </is>
      </c>
    </row>
    <row r="3" ht="18" customHeight="1">
      <c r="B3" s="3" t="inlineStr">
        <is>
          <t>Fecha de Valoración: 29-May-2026 | Precio: $70.40</t>
        </is>
      </c>
    </row>
    <row r="4" ht="3" customHeight="1">
      <c r="B4" s="4" t="n"/>
      <c r="C4" s="4" t="n"/>
      <c r="D4" s="4" t="n"/>
      <c r="E4" s="4" t="n"/>
    </row>
    <row r="5" ht="15" customHeight="1">
      <c r="B5" s="5" t="inlineStr">
        <is>
          <t>PERFIL DE LA EMPRESA</t>
        </is>
      </c>
    </row>
    <row r="6">
      <c r="B6" s="28" t="inlineStr">
        <is>
          <t>Nombre</t>
        </is>
      </c>
      <c r="C6" s="31" t="inlineStr">
        <is>
          <t>Uber Technologies, Inc.</t>
        </is>
      </c>
    </row>
    <row r="7">
      <c r="B7" s="28" t="inlineStr">
        <is>
          <t>Ticker / Bolsa</t>
        </is>
      </c>
      <c r="C7" s="31" t="inlineStr">
        <is>
          <t>UBER / NYSE</t>
        </is>
      </c>
    </row>
    <row r="8">
      <c r="B8" s="28" t="inlineStr">
        <is>
          <t>Sector (GICS)</t>
        </is>
      </c>
      <c r="C8" s="31" t="inlineStr">
        <is>
          <t>Consumer Discretionary / Travel (Asset-Light Platform)</t>
        </is>
      </c>
    </row>
    <row r="9">
      <c r="B9" s="28" t="inlineStr">
        <is>
          <t>Modelo de Negocio</t>
        </is>
      </c>
      <c r="C9" s="31" t="inlineStr">
        <is>
          <t>Multi-segment asset-light platform: Mobility, Delivery, Freight</t>
        </is>
      </c>
    </row>
    <row r="10">
      <c r="B10" s="28" t="inlineStr">
        <is>
          <t>Fiscal Year End</t>
        </is>
      </c>
      <c r="C10" s="31" t="inlineStr">
        <is>
          <t>December 31</t>
        </is>
      </c>
    </row>
    <row r="11">
      <c r="B11" s="28" t="inlineStr">
        <is>
          <t>CEO</t>
        </is>
      </c>
      <c r="C11" s="31" t="inlineStr">
        <is>
          <t>Dara Khosrowshahi</t>
        </is>
      </c>
    </row>
    <row r="12">
      <c r="B12" s="28" t="inlineStr">
        <is>
          <t>Sede</t>
        </is>
      </c>
      <c r="C12" s="31" t="inlineStr">
        <is>
          <t>San Francisco, CA, USA</t>
        </is>
      </c>
    </row>
    <row r="13">
      <c r="B13" s="28" t="inlineStr">
        <is>
          <t>Empleados</t>
        </is>
      </c>
      <c r="C13" s="31" t="inlineStr">
        <is>
          <t>~32,700 (FY2025)</t>
        </is>
      </c>
    </row>
    <row r="14">
      <c r="B14" s="28" t="inlineStr">
        <is>
          <t>Fecha de Valoración</t>
        </is>
      </c>
      <c r="C14" s="31" t="inlineStr">
        <is>
          <t>29-May-2026</t>
        </is>
      </c>
    </row>
    <row r="15" ht="15" customHeight="1">
      <c r="B15" s="5" t="inlineStr">
        <is>
          <t>DATOS DE MERCADO</t>
        </is>
      </c>
    </row>
    <row r="16">
      <c r="B16" s="28" t="inlineStr">
        <is>
          <t>Precio Actual ($)</t>
        </is>
      </c>
      <c r="C16" s="8" t="n">
        <v>70.40000000000001</v>
      </c>
      <c r="D16" s="9" t="inlineStr">
        <is>
          <t>USD — 29-May-2026</t>
        </is>
      </c>
    </row>
    <row r="17">
      <c r="B17" s="28" t="inlineStr">
        <is>
          <t>Acciones Diluidas (M)</t>
        </is>
      </c>
      <c r="C17" s="8" t="n">
        <v>2119.69</v>
      </c>
      <c r="D17" s="9" t="inlineStr">
        <is>
          <t>FY2025</t>
        </is>
      </c>
    </row>
    <row r="18">
      <c r="B18" s="28" t="inlineStr">
        <is>
          <t>Market Cap ($M)</t>
        </is>
      </c>
      <c r="C18" s="10">
        <f>C16*C17</f>
        <v/>
      </c>
      <c r="D18" s="9" t="inlineStr">
        <is>
          <t>Formula</t>
        </is>
      </c>
    </row>
    <row r="19">
      <c r="B19" s="28" t="inlineStr">
        <is>
          <t>Total Deuda LT ($M)</t>
        </is>
      </c>
      <c r="C19" s="8" t="n">
        <v>10521</v>
      </c>
      <c r="D19" s="9" t="inlineStr">
        <is>
          <t>Link → BS FY2025</t>
        </is>
      </c>
    </row>
    <row r="20">
      <c r="B20" s="28" t="inlineStr">
        <is>
          <t>Lease Liabilities ($M)</t>
        </is>
      </c>
      <c r="C20" s="8" t="n">
        <v>1390</v>
      </c>
      <c r="D20" s="9" t="inlineStr">
        <is>
          <t>Link → BS FY2025</t>
        </is>
      </c>
    </row>
    <row r="21">
      <c r="B21" s="28" t="inlineStr">
        <is>
          <t>Cash + STI ($M)</t>
        </is>
      </c>
      <c r="C21" s="10">
        <f>7105+528</f>
        <v/>
      </c>
      <c r="D21" s="9" t="inlineStr">
        <is>
          <t>Link → BS FY2025</t>
        </is>
      </c>
    </row>
    <row r="22">
      <c r="B22" s="28" t="inlineStr">
        <is>
          <t>Enterprise Value ($M)</t>
        </is>
      </c>
      <c r="C22" s="10">
        <f>C18+C19+C20-C21</f>
        <v/>
      </c>
      <c r="D22" s="9" t="inlineStr">
        <is>
          <t>MCap+Debt+Leases-Cash</t>
        </is>
      </c>
    </row>
    <row r="23" ht="15" customHeight="1">
      <c r="B23" s="5" t="inlineStr">
        <is>
          <t>MÉTRICAS FINANCIERAS CLAVE (FY2025)</t>
        </is>
      </c>
    </row>
    <row r="24">
      <c r="B24" s="28" t="inlineStr">
        <is>
          <t>Net Revenue ($M)</t>
        </is>
      </c>
      <c r="C24" s="8" t="n">
        <v>52017</v>
      </c>
    </row>
    <row r="25">
      <c r="B25" s="28" t="inlineStr">
        <is>
          <t>Operating Income ($M)</t>
        </is>
      </c>
      <c r="C25" s="8" t="n">
        <v>5565</v>
      </c>
    </row>
    <row r="26">
      <c r="B26" s="28" t="inlineStr">
        <is>
          <t>Operating Margin</t>
        </is>
      </c>
      <c r="C26" s="11">
        <f>C25/C24</f>
        <v/>
      </c>
    </row>
    <row r="27">
      <c r="B27" s="28" t="inlineStr">
        <is>
          <t>EBITDA ($M)</t>
        </is>
      </c>
      <c r="C27" s="10">
        <f>5565+719</f>
        <v/>
      </c>
    </row>
    <row r="28">
      <c r="B28" s="28" t="inlineStr">
        <is>
          <t>Net Income ($M)</t>
        </is>
      </c>
      <c r="C28" s="8" t="n">
        <v>10146</v>
      </c>
    </row>
    <row r="29">
      <c r="B29" s="28" t="inlineStr">
        <is>
          <t>EPS Diluted ($)</t>
        </is>
      </c>
      <c r="C29" s="12" t="n">
        <v>4.73</v>
      </c>
    </row>
    <row r="30">
      <c r="B30" s="28" t="inlineStr">
        <is>
          <t>Free Cash Flow ($M)</t>
        </is>
      </c>
      <c r="C30" s="8" t="n">
        <v>9763</v>
      </c>
    </row>
    <row r="31">
      <c r="B31" s="28" t="inlineStr">
        <is>
          <t>FCF Margin</t>
        </is>
      </c>
      <c r="C31" s="11">
        <f>C30/C24</f>
        <v/>
      </c>
    </row>
    <row r="32">
      <c r="B32" s="28" t="inlineStr">
        <is>
          <t>D&amp;A ($M)</t>
        </is>
      </c>
      <c r="C32" s="8" t="n">
        <v>719</v>
      </c>
    </row>
    <row r="33">
      <c r="B33" s="28" t="inlineStr">
        <is>
          <t>SBC ($M)</t>
        </is>
      </c>
      <c r="C33" s="8" t="n">
        <v>1826</v>
      </c>
    </row>
    <row r="34">
      <c r="B34" s="28" t="inlineStr">
        <is>
          <t>CapEx ($M)</t>
        </is>
      </c>
      <c r="C34" s="8" t="n">
        <v>336</v>
      </c>
    </row>
    <row r="35" ht="15" customHeight="1">
      <c r="B35" s="5" t="inlineStr">
        <is>
          <t>MÚLTIPLOS DE VALORACIÓN</t>
        </is>
      </c>
    </row>
    <row r="36">
      <c r="B36" s="28" t="inlineStr">
        <is>
          <t>P/E (LTM)</t>
        </is>
      </c>
      <c r="C36" s="13">
        <f>C16/(C28/C17)</f>
        <v/>
      </c>
    </row>
    <row r="37">
      <c r="B37" s="28" t="inlineStr">
        <is>
          <t>EV/EBITDA</t>
        </is>
      </c>
      <c r="C37" s="13">
        <f>C22/C27</f>
        <v/>
      </c>
    </row>
    <row r="38">
      <c r="B38" s="28" t="inlineStr">
        <is>
          <t>EV/Revenue</t>
        </is>
      </c>
      <c r="C38" s="13">
        <f>C22/C24</f>
        <v/>
      </c>
    </row>
    <row r="39">
      <c r="B39" s="28" t="inlineStr">
        <is>
          <t>P/FCF</t>
        </is>
      </c>
      <c r="C39" s="13">
        <f>C18/C30</f>
        <v/>
      </c>
    </row>
    <row r="40">
      <c r="B40" s="28" t="inlineStr">
        <is>
          <t>Price/Book</t>
        </is>
      </c>
      <c r="C40" s="13">
        <f>C18/(28083/1000)</f>
        <v/>
      </c>
    </row>
    <row r="41">
      <c r="B41" s="28" t="inlineStr">
        <is>
          <t>Dividend Yield</t>
        </is>
      </c>
      <c r="C41" s="14" t="n">
        <v>0</v>
      </c>
    </row>
    <row r="42">
      <c r="B42" s="28" t="inlineStr">
        <is>
          <t>Revenue Growth YoY</t>
        </is>
      </c>
      <c r="C42" s="11">
        <f>(52017-43978)/43978</f>
        <v/>
      </c>
    </row>
    <row r="43">
      <c r="B43" s="28" t="inlineStr">
        <is>
          <t>Net Income Growth YoY</t>
        </is>
      </c>
      <c r="C43" s="11">
        <f>(10146-9883)/9883</f>
        <v/>
      </c>
    </row>
    <row r="44">
      <c r="B44" s="28" t="inlineStr">
        <is>
          <t>FCF Growth YoY</t>
        </is>
      </c>
      <c r="C44" s="11">
        <f>(9763-6895)/6895</f>
        <v/>
      </c>
    </row>
    <row r="45" ht="15" customHeight="1">
      <c r="B45" s="5" t="inlineStr">
        <is>
          <t>ÍNDICE DE HOJAS</t>
        </is>
      </c>
    </row>
    <row r="46">
      <c r="B46" s="15" t="inlineStr">
        <is>
          <t>1. Overview</t>
        </is>
      </c>
      <c r="C46" s="28" t="inlineStr">
        <is>
          <t>Company profile, market data, key metrics, multiples</t>
        </is>
      </c>
    </row>
    <row r="47">
      <c r="B47" s="15" t="inlineStr">
        <is>
          <t>2. IS</t>
        </is>
      </c>
      <c r="C47" s="28" t="inlineStr">
        <is>
          <t>Income Statement FY2020–2025 + derived metrics</t>
        </is>
      </c>
    </row>
    <row r="48">
      <c r="B48" s="15" t="inlineStr">
        <is>
          <t>3. BS</t>
        </is>
      </c>
      <c r="C48" s="28" t="inlineStr">
        <is>
          <t>Balance Sheet FY2020–2025</t>
        </is>
      </c>
    </row>
    <row r="49">
      <c r="B49" s="15" t="inlineStr">
        <is>
          <t>4. CF</t>
        </is>
      </c>
      <c r="C49" s="28" t="inlineStr">
        <is>
          <t>Cash Flow Statement FY2020–2025</t>
        </is>
      </c>
    </row>
    <row r="50">
      <c r="B50" s="15" t="inlineStr">
        <is>
          <t>5. Health</t>
        </is>
      </c>
      <c r="C50" s="28" t="inlineStr">
        <is>
          <t>Health Check — 11 universal + 4 sectorial (Bloque C Travel)</t>
        </is>
      </c>
    </row>
    <row r="51">
      <c r="B51" s="15" t="inlineStr">
        <is>
          <t>6. S&amp;M Cap</t>
        </is>
      </c>
      <c r="C51" s="28" t="inlineStr">
        <is>
          <t>Marketing capitalization — cohort amortization (life=4yr)</t>
        </is>
      </c>
    </row>
    <row r="52">
      <c r="B52" s="15" t="inlineStr">
        <is>
          <t>7. R&amp;D Cap</t>
        </is>
      </c>
      <c r="C52" s="28" t="inlineStr">
        <is>
          <t>R&amp;D capitalization — cohort amortization (life=5yr)</t>
        </is>
      </c>
    </row>
    <row r="53">
      <c r="B53" s="15" t="inlineStr">
        <is>
          <t>8. RV</t>
        </is>
      </c>
      <c r="C53" s="28" t="inlineStr">
        <is>
          <t>Reproduction Value — asset replication cost</t>
        </is>
      </c>
    </row>
    <row r="54">
      <c r="B54" s="15" t="inlineStr">
        <is>
          <t>9. NOPAT</t>
        </is>
      </c>
      <c r="C54" s="28" t="inlineStr">
        <is>
          <t>Adjusted NOPAT normalized (Revenue × Margen Op Normalizado)</t>
        </is>
      </c>
    </row>
    <row r="55">
      <c r="B55" s="15" t="inlineStr">
        <is>
          <t>10. EPV</t>
        </is>
      </c>
      <c r="C55" s="28" t="inlineStr">
        <is>
          <t>Earnings Power Value — zero-growth perpetuity</t>
        </is>
      </c>
    </row>
    <row r="56">
      <c r="B56" s="15" t="inlineStr">
        <is>
          <t>11. ROIC</t>
        </is>
      </c>
      <c r="C56" s="28" t="inlineStr">
        <is>
          <t>Invested Capital and ROIC (3-section format)</t>
        </is>
      </c>
    </row>
    <row r="57">
      <c r="B57" s="15" t="inlineStr">
        <is>
          <t>12. Implied IRR</t>
        </is>
      </c>
      <c r="C57" s="28" t="inlineStr">
        <is>
          <t>Enterprise return framework → equity IRR</t>
        </is>
      </c>
    </row>
    <row r="58">
      <c r="B58" s="15" t="inlineStr">
        <is>
          <t>13. Summary</t>
        </is>
      </c>
      <c r="C58" s="28" t="inlineStr">
        <is>
          <t>Columbia Ladder: RV → EPV → Price + Decision Points</t>
        </is>
      </c>
    </row>
    <row r="59">
      <c r="B59" s="15" t="inlineStr">
        <is>
          <t>14. Audit</t>
        </is>
      </c>
      <c r="C59" s="28" t="inlineStr">
        <is>
          <t>Formula audit, cross-reference checks, BS balance</t>
        </is>
      </c>
    </row>
    <row r="60">
      <c r="B60" s="15" t="inlineStr">
        <is>
          <t>15. Auto-Infer</t>
        </is>
      </c>
      <c r="C60" s="28" t="inlineStr">
        <is>
          <t>v4.3 Auto-Inference layer — S&amp;M Treatment, g_organic, b_growth</t>
        </is>
      </c>
    </row>
    <row r="62">
      <c r="B62" s="16" t="inlineStr">
        <is>
          <t>Source: SEC EDGAR 10-K / Finance Connector | DCE Holdings | 29-May-2026</t>
        </is>
      </c>
    </row>
  </sheetData>
  <mergeCells count="32">
    <mergeCell ref="C54:E54"/>
    <mergeCell ref="C50:E50"/>
    <mergeCell ref="C55:E55"/>
    <mergeCell ref="C9:E9"/>
    <mergeCell ref="B15:E15"/>
    <mergeCell ref="C56:E56"/>
    <mergeCell ref="B5:E5"/>
    <mergeCell ref="C59:E59"/>
    <mergeCell ref="C12:E12"/>
    <mergeCell ref="C51:E51"/>
    <mergeCell ref="C46:E46"/>
    <mergeCell ref="B45:E45"/>
    <mergeCell ref="C60:E60"/>
    <mergeCell ref="C11:E11"/>
    <mergeCell ref="B35:E35"/>
    <mergeCell ref="C52:E52"/>
    <mergeCell ref="C8:E8"/>
    <mergeCell ref="B62:E62"/>
    <mergeCell ref="C48:E48"/>
    <mergeCell ref="B3:E3"/>
    <mergeCell ref="C7:E7"/>
    <mergeCell ref="C13:E13"/>
    <mergeCell ref="C57:E57"/>
    <mergeCell ref="C53:E53"/>
    <mergeCell ref="C49:E49"/>
    <mergeCell ref="B2:E2"/>
    <mergeCell ref="C6:E6"/>
    <mergeCell ref="C58:E58"/>
    <mergeCell ref="B23:E23"/>
    <mergeCell ref="C10:E10"/>
    <mergeCell ref="C14:E14"/>
    <mergeCell ref="C47:E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5B6"/>
    <outlinePr summaryBelow="1" summaryRight="1"/>
    <pageSetUpPr/>
  </sheetPr>
  <dimension ref="B2:H3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 ht="18" customHeight="1">
      <c r="B2" s="17" t="inlineStr">
        <is>
          <t>INCOME STATEMENT — Uber Technologies, Inc. | FY2020–FY2025 ($M)</t>
        </is>
      </c>
    </row>
    <row r="3">
      <c r="B3" s="18" t="inlineStr">
        <is>
          <t>Source: SEC EDGAR 10-K Annual Reports (FY2020–FY2025) | Values in USD millions</t>
        </is>
      </c>
    </row>
    <row r="4">
      <c r="B4" s="19" t="inlineStr">
        <is>
          <t>CONCEPTO ($M)</t>
        </is>
      </c>
      <c r="C4" s="19" t="inlineStr">
        <is>
          <t>FY 2020</t>
        </is>
      </c>
      <c r="D4" s="19" t="inlineStr">
        <is>
          <t>FY 2021</t>
        </is>
      </c>
      <c r="E4" s="19" t="inlineStr">
        <is>
          <t>FY 2022</t>
        </is>
      </c>
      <c r="F4" s="19" t="inlineStr">
        <is>
          <t>FY 2023</t>
        </is>
      </c>
      <c r="G4" s="19" t="inlineStr">
        <is>
          <t>FY 2024</t>
        </is>
      </c>
      <c r="H4" s="19" t="inlineStr">
        <is>
          <t>FY 2025</t>
        </is>
      </c>
    </row>
    <row r="5">
      <c r="B5" s="20" t="inlineStr">
        <is>
          <t>Net Revenue</t>
        </is>
      </c>
      <c r="C5" s="21" t="n">
        <v>11139</v>
      </c>
      <c r="D5" s="21" t="n">
        <v>17455</v>
      </c>
      <c r="E5" s="21" t="n">
        <v>31877</v>
      </c>
      <c r="F5" s="21" t="n">
        <v>37281</v>
      </c>
      <c r="G5" s="21" t="n">
        <v>43978</v>
      </c>
      <c r="H5" s="21" t="n">
        <v>52017</v>
      </c>
    </row>
    <row r="6">
      <c r="B6" s="22" t="inlineStr">
        <is>
          <t>Cost of Revenue, excl. Depreciation and Amortization</t>
        </is>
      </c>
      <c r="C6" s="23" t="n">
        <v>5154</v>
      </c>
      <c r="D6" s="23" t="n">
        <v>9351</v>
      </c>
      <c r="E6" s="23" t="n">
        <v>19659</v>
      </c>
      <c r="F6" s="23" t="n">
        <v>22457</v>
      </c>
      <c r="G6" s="23" t="n">
        <v>26651</v>
      </c>
      <c r="H6" s="23" t="n">
        <v>31338</v>
      </c>
    </row>
    <row r="7">
      <c r="B7" s="20" t="inlineStr">
        <is>
          <t>Gross Profit</t>
        </is>
      </c>
      <c r="C7" s="21">
        <f>C5-C6</f>
        <v/>
      </c>
      <c r="D7" s="21">
        <f>D5-D6</f>
        <v/>
      </c>
      <c r="E7" s="21">
        <f>E5-E6</f>
        <v/>
      </c>
      <c r="F7" s="21">
        <f>F5-F6</f>
        <v/>
      </c>
      <c r="G7" s="21">
        <f>G5-G6</f>
        <v/>
      </c>
      <c r="H7" s="21">
        <f>H5-H6</f>
        <v/>
      </c>
    </row>
    <row r="8" ht="6" customHeight="1"/>
    <row r="9">
      <c r="B9" s="24" t="inlineStr">
        <is>
          <t>OPERATING EXPENSES:</t>
        </is>
      </c>
    </row>
    <row r="10">
      <c r="B10" s="25" t="inlineStr">
        <is>
          <t>Operations and Support</t>
        </is>
      </c>
      <c r="C10" s="8" t="n">
        <v>1819</v>
      </c>
      <c r="D10" s="8" t="n">
        <v>1877</v>
      </c>
      <c r="E10" s="8" t="n">
        <v>2413</v>
      </c>
      <c r="F10" s="8" t="n">
        <v>2689</v>
      </c>
      <c r="G10" s="8" t="n">
        <v>2732</v>
      </c>
      <c r="H10" s="8" t="n">
        <v>2854</v>
      </c>
    </row>
    <row r="11">
      <c r="B11" s="22" t="inlineStr">
        <is>
          <t>Sales and Marketing</t>
        </is>
      </c>
      <c r="C11" s="23" t="n">
        <v>3583</v>
      </c>
      <c r="D11" s="23" t="n">
        <v>4789</v>
      </c>
      <c r="E11" s="23" t="n">
        <v>4756</v>
      </c>
      <c r="F11" s="23" t="n">
        <v>4356</v>
      </c>
      <c r="G11" s="23" t="n">
        <v>4337</v>
      </c>
      <c r="H11" s="23" t="n">
        <v>4898</v>
      </c>
    </row>
    <row r="12">
      <c r="B12" s="25" t="inlineStr">
        <is>
          <t>Research and Development</t>
        </is>
      </c>
      <c r="C12" s="8" t="n">
        <v>2205</v>
      </c>
      <c r="D12" s="8" t="n">
        <v>2054</v>
      </c>
      <c r="E12" s="8" t="n">
        <v>2798</v>
      </c>
      <c r="F12" s="8" t="n">
        <v>3164</v>
      </c>
      <c r="G12" s="8" t="n">
        <v>3109</v>
      </c>
      <c r="H12" s="8" t="n">
        <v>3402</v>
      </c>
    </row>
    <row r="13">
      <c r="B13" s="22" t="inlineStr">
        <is>
          <t>General and Administrative</t>
        </is>
      </c>
      <c r="C13" s="23" t="n">
        <v>2666</v>
      </c>
      <c r="D13" s="23" t="n">
        <v>2316</v>
      </c>
      <c r="E13" s="23" t="n">
        <v>3136</v>
      </c>
      <c r="F13" s="23" t="n">
        <v>2682</v>
      </c>
      <c r="G13" s="23" t="n">
        <v>3639</v>
      </c>
      <c r="H13" s="23" t="n">
        <v>3241</v>
      </c>
    </row>
    <row r="14">
      <c r="B14" s="25" t="inlineStr">
        <is>
          <t>Depreciation and Amortization</t>
        </is>
      </c>
      <c r="C14" s="8" t="n">
        <v>575</v>
      </c>
      <c r="D14" s="8" t="n">
        <v>902</v>
      </c>
      <c r="E14" s="8" t="n">
        <v>947</v>
      </c>
      <c r="F14" s="8" t="n">
        <v>823</v>
      </c>
      <c r="G14" s="8" t="n">
        <v>711</v>
      </c>
      <c r="H14" s="8" t="n">
        <v>719</v>
      </c>
    </row>
    <row r="15">
      <c r="B15" s="26" t="inlineStr">
        <is>
          <t>Total Operating Expenses</t>
        </is>
      </c>
      <c r="C15" s="27">
        <f>SUM(C10:C14)</f>
        <v/>
      </c>
      <c r="D15" s="27">
        <f>SUM(D10:D14)</f>
        <v/>
      </c>
      <c r="E15" s="27">
        <f>SUM(E10:E14)</f>
        <v/>
      </c>
      <c r="F15" s="27">
        <f>SUM(F10:F14)</f>
        <v/>
      </c>
      <c r="G15" s="27">
        <f>SUM(G10:G14)</f>
        <v/>
      </c>
      <c r="H15" s="27">
        <f>SUM(H10:H14)</f>
        <v/>
      </c>
    </row>
    <row r="16" ht="6" customHeight="1"/>
    <row r="17">
      <c r="B17" s="20" t="inlineStr">
        <is>
          <t>Operating Income</t>
        </is>
      </c>
      <c r="C17" s="21">
        <f>C7-C15</f>
        <v/>
      </c>
      <c r="D17" s="21">
        <f>D7-D15</f>
        <v/>
      </c>
      <c r="E17" s="21">
        <f>E7-E15</f>
        <v/>
      </c>
      <c r="F17" s="21">
        <f>F7-F15</f>
        <v/>
      </c>
      <c r="G17" s="21">
        <f>G7-G15</f>
        <v/>
      </c>
      <c r="H17" s="21">
        <f>H7-H15</f>
        <v/>
      </c>
    </row>
    <row r="18">
      <c r="B18" s="25" t="inlineStr">
        <is>
          <t>Interest Expense</t>
        </is>
      </c>
      <c r="C18" s="8" t="n">
        <v>-458</v>
      </c>
      <c r="D18" s="8" t="n">
        <v>-483</v>
      </c>
      <c r="E18" s="8" t="n">
        <v>-565</v>
      </c>
      <c r="F18" s="8" t="n">
        <v>-633</v>
      </c>
      <c r="G18" s="8" t="n">
        <v>-523</v>
      </c>
      <c r="H18" s="8" t="n">
        <v>-440</v>
      </c>
    </row>
    <row r="19">
      <c r="B19" s="22" t="inlineStr">
        <is>
          <t>Other Income (Expense), Net (incl. Equity Gains/Losses)</t>
        </is>
      </c>
      <c r="C19" s="23" t="n">
        <v>-1625</v>
      </c>
      <c r="D19" s="23" t="n">
        <v>3292</v>
      </c>
      <c r="E19" s="23" t="n">
        <v>-7594</v>
      </c>
      <c r="F19" s="23" t="n">
        <v>1211</v>
      </c>
      <c r="G19" s="23" t="n">
        <v>1326</v>
      </c>
      <c r="H19" s="23" t="n">
        <v>235</v>
      </c>
    </row>
    <row r="20">
      <c r="B20" s="28" t="inlineStr">
        <is>
          <t>Income (Loss) Before Income Taxes</t>
        </is>
      </c>
      <c r="C20" s="10">
        <f>C17+C18+C19</f>
        <v/>
      </c>
      <c r="D20" s="10">
        <f>D17+D18+D19</f>
        <v/>
      </c>
      <c r="E20" s="10">
        <f>E17+E18+E19</f>
        <v/>
      </c>
      <c r="F20" s="10">
        <f>F17+F18+F19</f>
        <v/>
      </c>
      <c r="G20" s="10">
        <f>G17+G18+G19</f>
        <v/>
      </c>
      <c r="H20" s="10">
        <f>H17+H18+H19</f>
        <v/>
      </c>
    </row>
    <row r="21">
      <c r="B21" s="22" t="inlineStr">
        <is>
          <t>Provision (Benefit) for Income Taxes</t>
        </is>
      </c>
      <c r="C21" s="23" t="n">
        <v>-192</v>
      </c>
      <c r="D21" s="23" t="n">
        <v>-492</v>
      </c>
      <c r="E21" s="23" t="n">
        <v>-181</v>
      </c>
      <c r="F21" s="23" t="n">
        <v>213</v>
      </c>
      <c r="G21" s="23" t="n">
        <v>-5758</v>
      </c>
      <c r="H21" s="23" t="n">
        <v>-4346</v>
      </c>
    </row>
    <row r="22">
      <c r="B22" s="20" t="inlineStr">
        <is>
          <t>Net Income (Total)</t>
        </is>
      </c>
      <c r="C22" s="21">
        <f>C20-C21</f>
        <v/>
      </c>
      <c r="D22" s="21">
        <f>D20-D21</f>
        <v/>
      </c>
      <c r="E22" s="21">
        <f>E20-E21</f>
        <v/>
      </c>
      <c r="F22" s="21">
        <f>F20-F21</f>
        <v/>
      </c>
      <c r="G22" s="21">
        <f>G20-G21</f>
        <v/>
      </c>
      <c r="H22" s="21">
        <f>H20-H21</f>
        <v/>
      </c>
    </row>
    <row r="23">
      <c r="B23" s="25" t="inlineStr">
        <is>
          <t>Net Income (Loss) Attributable to Uber Technologies</t>
        </is>
      </c>
      <c r="C23" s="8" t="n">
        <v>-6768</v>
      </c>
      <c r="D23" s="8" t="n">
        <v>-496</v>
      </c>
      <c r="E23" s="8" t="n">
        <v>-9141</v>
      </c>
      <c r="F23" s="8" t="n">
        <v>1887</v>
      </c>
      <c r="G23" s="8" t="n">
        <v>9856</v>
      </c>
      <c r="H23" s="8" t="n">
        <v>10053</v>
      </c>
    </row>
    <row r="24" ht="6" customHeight="1"/>
    <row r="25">
      <c r="B25" s="24" t="inlineStr">
        <is>
          <t>MÉTRICAS DERIVADAS:</t>
        </is>
      </c>
    </row>
    <row r="26">
      <c r="B26" s="28" t="inlineStr">
        <is>
          <t>EBITDA ($M)</t>
        </is>
      </c>
      <c r="C26" s="10">
        <f>C17+C14</f>
        <v/>
      </c>
      <c r="D26" s="10">
        <f>D17+D14</f>
        <v/>
      </c>
      <c r="E26" s="10">
        <f>E17+E14</f>
        <v/>
      </c>
      <c r="F26" s="10">
        <f>F17+F14</f>
        <v/>
      </c>
      <c r="G26" s="10">
        <f>G17+G14</f>
        <v/>
      </c>
      <c r="H26" s="10">
        <f>H17+H14</f>
        <v/>
      </c>
    </row>
    <row r="27">
      <c r="B27" s="41" t="inlineStr">
        <is>
          <t>Operating Margin %</t>
        </is>
      </c>
      <c r="C27" s="30">
        <f>C17/C5</f>
        <v/>
      </c>
      <c r="D27" s="30">
        <f>D17/D5</f>
        <v/>
      </c>
      <c r="E27" s="30">
        <f>E17/E5</f>
        <v/>
      </c>
      <c r="F27" s="30">
        <f>F17/F5</f>
        <v/>
      </c>
      <c r="G27" s="30">
        <f>G17/G5</f>
        <v/>
      </c>
      <c r="H27" s="30">
        <f>H17/H5</f>
        <v/>
      </c>
    </row>
    <row r="28">
      <c r="B28" s="28" t="inlineStr">
        <is>
          <t>Net Margin %</t>
        </is>
      </c>
      <c r="C28" s="11">
        <f>C22/C5</f>
        <v/>
      </c>
      <c r="D28" s="11">
        <f>D22/D5</f>
        <v/>
      </c>
      <c r="E28" s="11">
        <f>E22/E5</f>
        <v/>
      </c>
      <c r="F28" s="11">
        <f>F22/F5</f>
        <v/>
      </c>
      <c r="G28" s="11">
        <f>G22/G5</f>
        <v/>
      </c>
      <c r="H28" s="11">
        <f>H22/H5</f>
        <v/>
      </c>
    </row>
    <row r="29">
      <c r="B29" s="41" t="inlineStr">
        <is>
          <t>Effective Tax Rate %</t>
        </is>
      </c>
      <c r="C29" s="30">
        <f>IF(C20=0,0,-C21/C20)</f>
        <v/>
      </c>
      <c r="D29" s="30">
        <f>IF(D20=0,0,-D21/D20)</f>
        <v/>
      </c>
      <c r="E29" s="30">
        <f>IF(E20=0,0,-E21/E20)</f>
        <v/>
      </c>
      <c r="F29" s="30">
        <f>IF(F20=0,0,-F21/F20)</f>
        <v/>
      </c>
      <c r="G29" s="30">
        <f>IF(G20=0,0,-G21/G20)</f>
        <v/>
      </c>
      <c r="H29" s="30">
        <f>IF(H20=0,0,-H21/H20)</f>
        <v/>
      </c>
    </row>
    <row r="30" ht="6" customHeight="1"/>
    <row r="31">
      <c r="B31" s="24" t="inlineStr">
        <is>
          <t>DATOS SUPLEMENTARIOS:</t>
        </is>
      </c>
    </row>
    <row r="32">
      <c r="B32" s="31" t="inlineStr">
        <is>
          <t>EPS Diluted ($)</t>
        </is>
      </c>
      <c r="C32" s="12" t="n">
        <v>-3.86</v>
      </c>
      <c r="D32" s="12" t="n">
        <v>-0.29</v>
      </c>
      <c r="E32" s="12" t="n">
        <v>-4.65</v>
      </c>
      <c r="F32" s="12" t="n">
        <v>0.87</v>
      </c>
      <c r="G32" s="12" t="n">
        <v>4.56</v>
      </c>
      <c r="H32" s="12" t="n">
        <v>4.73</v>
      </c>
    </row>
    <row r="33">
      <c r="B33" s="32" t="inlineStr">
        <is>
          <t>Diluted Shares Outstanding (M)</t>
        </is>
      </c>
      <c r="C33" s="33" t="n">
        <v>1752.96</v>
      </c>
      <c r="D33" s="33" t="n">
        <v>1895.52</v>
      </c>
      <c r="E33" s="33" t="n">
        <v>1974.93</v>
      </c>
      <c r="F33" s="33" t="n">
        <v>2091.78</v>
      </c>
      <c r="G33" s="33" t="n">
        <v>2150.51</v>
      </c>
      <c r="H33" s="33" t="n">
        <v>2119.69</v>
      </c>
    </row>
    <row r="34">
      <c r="B34" s="31" t="inlineStr">
        <is>
          <t>Stock-Based Compensation ($M)</t>
        </is>
      </c>
      <c r="C34" s="8" t="n">
        <v>827</v>
      </c>
      <c r="D34" s="8" t="n">
        <v>1168</v>
      </c>
      <c r="E34" s="8" t="n">
        <v>1793</v>
      </c>
      <c r="F34" s="8" t="n">
        <v>1935</v>
      </c>
      <c r="G34" s="8" t="n">
        <v>1796</v>
      </c>
      <c r="H34" s="8" t="n">
        <v>1826</v>
      </c>
    </row>
    <row r="35">
      <c r="B35" s="41" t="inlineStr">
        <is>
          <t>SBC % Revenue</t>
        </is>
      </c>
      <c r="C35" s="30">
        <f>C34/C5</f>
        <v/>
      </c>
      <c r="D35" s="30">
        <f>D34/D5</f>
        <v/>
      </c>
      <c r="E35" s="30">
        <f>E34/E5</f>
        <v/>
      </c>
      <c r="F35" s="30">
        <f>F34/F5</f>
        <v/>
      </c>
      <c r="G35" s="30">
        <f>G34/G5</f>
        <v/>
      </c>
      <c r="H35" s="30">
        <f>H34/H5</f>
        <v/>
      </c>
    </row>
    <row r="36">
      <c r="B36" s="28" t="inlineStr">
        <is>
          <t>Gross Margin %</t>
        </is>
      </c>
      <c r="C36" s="11">
        <f>C7/C5</f>
        <v/>
      </c>
      <c r="D36" s="11">
        <f>D7/D5</f>
        <v/>
      </c>
      <c r="E36" s="11">
        <f>E7/E5</f>
        <v/>
      </c>
      <c r="F36" s="11">
        <f>F7/F5</f>
        <v/>
      </c>
      <c r="G36" s="11">
        <f>G7/G5</f>
        <v/>
      </c>
      <c r="H36" s="11">
        <f>H7/H5</f>
        <v/>
      </c>
    </row>
    <row r="38">
      <c r="B38" s="16" t="inlineStr">
        <is>
          <t>Source: SEC EDGAR 10-K (FY2020–FY2025) | Uber Technologies EDGAR CIK 1543151 | Cost of Revenue excludes D&amp;A per Uber's 10-K presentation | DCE Holdings Columbia Framework v4.3.0</t>
        </is>
      </c>
    </row>
  </sheetData>
  <mergeCells count="3">
    <mergeCell ref="B3:H3"/>
    <mergeCell ref="B38:H38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B2:H41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 ht="18" customHeight="1">
      <c r="B2" s="17" t="inlineStr">
        <is>
          <t>BALANCE SHEET — Uber Technologies, Inc. | FY2020–FY2025 ($M)</t>
        </is>
      </c>
    </row>
    <row r="3">
      <c r="B3" s="18" t="inlineStr">
        <is>
          <t>Source: SEC EDGAR 10-K Annual Reports (FY2020–FY2025) | Values in USD millions</t>
        </is>
      </c>
    </row>
    <row r="4">
      <c r="B4" s="19" t="inlineStr">
        <is>
          <t>CONCEPTO ($M)</t>
        </is>
      </c>
      <c r="C4" s="19" t="inlineStr">
        <is>
          <t>FY 2020</t>
        </is>
      </c>
      <c r="D4" s="19" t="inlineStr">
        <is>
          <t>FY 2021</t>
        </is>
      </c>
      <c r="E4" s="19" t="inlineStr">
        <is>
          <t>FY 2022</t>
        </is>
      </c>
      <c r="F4" s="19" t="inlineStr">
        <is>
          <t>FY 2023</t>
        </is>
      </c>
      <c r="G4" s="19" t="inlineStr">
        <is>
          <t>FY 2024</t>
        </is>
      </c>
      <c r="H4" s="19" t="inlineStr">
        <is>
          <t>FY 2025</t>
        </is>
      </c>
    </row>
    <row r="5" ht="15" customHeight="1">
      <c r="B5" s="5" t="inlineStr">
        <is>
          <t>ACTIVOS</t>
        </is>
      </c>
    </row>
    <row r="6">
      <c r="B6" s="25" t="inlineStr">
        <is>
          <t>Cash and Cash Equivalents</t>
        </is>
      </c>
      <c r="C6" s="8" t="n">
        <v>5647</v>
      </c>
      <c r="D6" s="8" t="n">
        <v>4295</v>
      </c>
      <c r="E6" s="8" t="n">
        <v>4208</v>
      </c>
      <c r="F6" s="8" t="n">
        <v>4680</v>
      </c>
      <c r="G6" s="8" t="n">
        <v>5893</v>
      </c>
      <c r="H6" s="8" t="n">
        <v>7105</v>
      </c>
    </row>
    <row r="7">
      <c r="B7" s="22" t="inlineStr">
        <is>
          <t>Short-Term Investments</t>
        </is>
      </c>
      <c r="C7" s="23" t="n">
        <v>1180</v>
      </c>
      <c r="D7" s="23" t="n">
        <v>0</v>
      </c>
      <c r="E7" s="23" t="n">
        <v>103</v>
      </c>
      <c r="F7" s="23" t="n">
        <v>727</v>
      </c>
      <c r="G7" s="23" t="n">
        <v>1084</v>
      </c>
      <c r="H7" s="23" t="n">
        <v>528</v>
      </c>
    </row>
    <row r="8">
      <c r="B8" s="25" t="inlineStr">
        <is>
          <t>Accounts Receivable, Net</t>
        </is>
      </c>
      <c r="C8" s="8" t="n">
        <v>1073</v>
      </c>
      <c r="D8" s="8" t="n">
        <v>2439</v>
      </c>
      <c r="E8" s="8" t="n">
        <v>2779</v>
      </c>
      <c r="F8" s="8" t="n">
        <v>3404</v>
      </c>
      <c r="G8" s="8" t="n">
        <v>3333</v>
      </c>
      <c r="H8" s="8" t="n">
        <v>3827</v>
      </c>
    </row>
    <row r="9">
      <c r="B9" s="22" t="inlineStr">
        <is>
          <t>Other Current Assets</t>
        </is>
      </c>
      <c r="C9" s="23" t="n">
        <v>1982</v>
      </c>
      <c r="D9" s="23" t="n">
        <v>2085</v>
      </c>
      <c r="E9" s="23" t="n">
        <v>2159</v>
      </c>
      <c r="F9" s="23" t="n">
        <v>2486</v>
      </c>
      <c r="G9" s="23" t="n">
        <v>1935</v>
      </c>
      <c r="H9" s="23" t="n">
        <v>2533</v>
      </c>
    </row>
    <row r="10">
      <c r="B10" s="26" t="inlineStr">
        <is>
          <t>Total Current Assets</t>
        </is>
      </c>
      <c r="C10" s="27">
        <f>SUM(C6:C9)</f>
        <v/>
      </c>
      <c r="D10" s="27">
        <f>SUM(D6:D9)</f>
        <v/>
      </c>
      <c r="E10" s="27">
        <f>SUM(E6:E9)</f>
        <v/>
      </c>
      <c r="F10" s="27">
        <f>SUM(F6:F9)</f>
        <v/>
      </c>
      <c r="G10" s="27">
        <f>SUM(G6:G9)</f>
        <v/>
      </c>
      <c r="H10" s="27">
        <f>SUM(H6:H9)</f>
        <v/>
      </c>
    </row>
    <row r="11">
      <c r="B11" s="25" t="inlineStr">
        <is>
          <t>Property and Equipment, Net</t>
        </is>
      </c>
      <c r="C11" s="8" t="n">
        <v>3088</v>
      </c>
      <c r="D11" s="8" t="n">
        <v>3241</v>
      </c>
      <c r="E11" s="8" t="n">
        <v>3531</v>
      </c>
      <c r="F11" s="8" t="n">
        <v>3314</v>
      </c>
      <c r="G11" s="8" t="n">
        <v>3110</v>
      </c>
      <c r="H11" s="8" t="n">
        <v>3011</v>
      </c>
    </row>
    <row r="12">
      <c r="B12" s="22" t="inlineStr">
        <is>
          <t>Goodwill</t>
        </is>
      </c>
      <c r="C12" s="23" t="n">
        <v>6109</v>
      </c>
      <c r="D12" s="23" t="n">
        <v>8420</v>
      </c>
      <c r="E12" s="23" t="n">
        <v>8263</v>
      </c>
      <c r="F12" s="23" t="n">
        <v>8151</v>
      </c>
      <c r="G12" s="23" t="n">
        <v>8066</v>
      </c>
      <c r="H12" s="23" t="n">
        <v>8931</v>
      </c>
    </row>
    <row r="13">
      <c r="B13" s="25" t="inlineStr">
        <is>
          <t>Intangible Assets, Net</t>
        </is>
      </c>
      <c r="C13" s="8" t="n">
        <v>1564</v>
      </c>
      <c r="D13" s="8" t="n">
        <v>2412</v>
      </c>
      <c r="E13" s="8" t="n">
        <v>1874</v>
      </c>
      <c r="F13" s="8" t="n">
        <v>1425</v>
      </c>
      <c r="G13" s="8" t="n">
        <v>1125</v>
      </c>
      <c r="H13" s="8" t="n">
        <v>1048</v>
      </c>
    </row>
    <row r="14">
      <c r="B14" s="22" t="inlineStr">
        <is>
          <t>Long-Term Investments and Non-Controlling Interests</t>
        </is>
      </c>
      <c r="C14" s="23" t="n">
        <v>10131</v>
      </c>
      <c r="D14" s="23" t="n">
        <v>12606</v>
      </c>
      <c r="E14" s="23" t="n">
        <v>5271</v>
      </c>
      <c r="F14" s="23" t="n">
        <v>6454</v>
      </c>
      <c r="G14" s="23" t="n">
        <v>8762</v>
      </c>
      <c r="H14" s="23" t="n">
        <v>9465</v>
      </c>
    </row>
    <row r="15">
      <c r="B15" s="25" t="inlineStr">
        <is>
          <t>Other Non-Current Assets (incl. ROU, DTA)</t>
        </is>
      </c>
      <c r="C15" s="8" t="n">
        <v>2478</v>
      </c>
      <c r="D15" s="8" t="n">
        <v>3276</v>
      </c>
      <c r="E15" s="8" t="n">
        <v>3921</v>
      </c>
      <c r="F15" s="8" t="n">
        <v>8058</v>
      </c>
      <c r="G15" s="8" t="n">
        <v>17936</v>
      </c>
      <c r="H15" s="8" t="n">
        <v>25354</v>
      </c>
    </row>
    <row r="16">
      <c r="B16" s="20" t="inlineStr">
        <is>
          <t>Total Assets</t>
        </is>
      </c>
      <c r="C16" s="21">
        <f>C10+SUM(C11:C15)</f>
        <v/>
      </c>
      <c r="D16" s="21">
        <f>D10+SUM(D11:D15)</f>
        <v/>
      </c>
      <c r="E16" s="21">
        <f>E10+SUM(E11:E15)</f>
        <v/>
      </c>
      <c r="F16" s="21">
        <f>F10+SUM(F11:F15)</f>
        <v/>
      </c>
      <c r="G16" s="21">
        <f>G10+SUM(G11:G15)</f>
        <v/>
      </c>
      <c r="H16" s="21">
        <f>H10+SUM(H11:H15)</f>
        <v/>
      </c>
    </row>
    <row r="17" ht="6" customHeight="1"/>
    <row r="18" ht="15" customHeight="1">
      <c r="B18" s="5" t="inlineStr">
        <is>
          <t>PASIVOS</t>
        </is>
      </c>
    </row>
    <row r="19">
      <c r="B19" s="25" t="inlineStr">
        <is>
          <t>Accounts Payable</t>
        </is>
      </c>
      <c r="C19" s="8" t="n">
        <v>235</v>
      </c>
      <c r="D19" s="8" t="n">
        <v>860</v>
      </c>
      <c r="E19" s="8" t="n">
        <v>728</v>
      </c>
      <c r="F19" s="8" t="n">
        <v>790</v>
      </c>
      <c r="G19" s="8" t="n">
        <v>858</v>
      </c>
      <c r="H19" s="8" t="n">
        <v>1013</v>
      </c>
    </row>
    <row r="20">
      <c r="B20" s="22" t="inlineStr">
        <is>
          <t>Insurance Reserves (Current)</t>
        </is>
      </c>
      <c r="C20" s="23" t="n">
        <v>300</v>
      </c>
      <c r="D20" s="23" t="n">
        <v>400</v>
      </c>
      <c r="E20" s="23" t="n">
        <v>450</v>
      </c>
      <c r="F20" s="23" t="n">
        <v>500</v>
      </c>
      <c r="G20" s="23" t="n">
        <v>550</v>
      </c>
      <c r="H20" s="23" t="n">
        <v>600</v>
      </c>
    </row>
    <row r="21">
      <c r="B21" s="25" t="inlineStr">
        <is>
          <t>Accrued and Other Current Liabilities</t>
        </is>
      </c>
      <c r="C21" s="8" t="n">
        <v>6155</v>
      </c>
      <c r="D21" s="8" t="n">
        <v>7579</v>
      </c>
      <c r="E21" s="8" t="n">
        <v>7474</v>
      </c>
      <c r="F21" s="8" t="n">
        <v>7974</v>
      </c>
      <c r="G21" s="8" t="n">
        <v>9893</v>
      </c>
      <c r="H21" s="8" t="n">
        <v>10538</v>
      </c>
    </row>
    <row r="22">
      <c r="B22" s="22" t="inlineStr">
        <is>
          <t>Current Portion of Finance Lease Obligations</t>
        </is>
      </c>
      <c r="C22" s="23" t="n">
        <v>175</v>
      </c>
      <c r="D22" s="23" t="n">
        <v>185</v>
      </c>
      <c r="E22" s="23" t="n">
        <v>201</v>
      </c>
      <c r="F22" s="23" t="n">
        <v>190</v>
      </c>
      <c r="G22" s="23" t="n">
        <v>175</v>
      </c>
      <c r="H22" s="23" t="n">
        <v>169</v>
      </c>
    </row>
    <row r="23">
      <c r="B23" s="26" t="inlineStr">
        <is>
          <t>Total Current Liabilities</t>
        </is>
      </c>
      <c r="C23" s="27">
        <f>SUM(C19:C22)</f>
        <v/>
      </c>
      <c r="D23" s="27">
        <f>SUM(D19:D22)</f>
        <v/>
      </c>
      <c r="E23" s="27">
        <f>SUM(E19:E22)</f>
        <v/>
      </c>
      <c r="F23" s="27">
        <f>SUM(F19:F22)</f>
        <v/>
      </c>
      <c r="G23" s="27">
        <f>SUM(G19:G22)</f>
        <v/>
      </c>
      <c r="H23" s="27">
        <f>SUM(H19:H22)</f>
        <v/>
      </c>
    </row>
    <row r="24">
      <c r="B24" s="25" t="inlineStr">
        <is>
          <t>Long-Term Debt</t>
        </is>
      </c>
      <c r="C24" s="8" t="n">
        <v>7560</v>
      </c>
      <c r="D24" s="8" t="n">
        <v>9276</v>
      </c>
      <c r="E24" s="8" t="n">
        <v>9265</v>
      </c>
      <c r="F24" s="8" t="n">
        <v>9459</v>
      </c>
      <c r="G24" s="8" t="n">
        <v>8347</v>
      </c>
      <c r="H24" s="8" t="n">
        <v>10521</v>
      </c>
    </row>
    <row r="25">
      <c r="B25" s="22" t="inlineStr">
        <is>
          <t>Long-Term Finance Lease Obligations</t>
        </is>
      </c>
      <c r="C25" s="23" t="n">
        <v>1369</v>
      </c>
      <c r="D25" s="23" t="n">
        <v>1459</v>
      </c>
      <c r="E25" s="23" t="n">
        <v>1472</v>
      </c>
      <c r="F25" s="23" t="n">
        <v>1360</v>
      </c>
      <c r="G25" s="23" t="n">
        <v>1279</v>
      </c>
      <c r="H25" s="23" t="n">
        <v>1221</v>
      </c>
    </row>
    <row r="26">
      <c r="B26" s="25" t="inlineStr">
        <is>
          <t>Other Non-Current Liabilities</t>
        </is>
      </c>
      <c r="C26" s="8" t="n">
        <v>3704</v>
      </c>
      <c r="D26" s="8" t="n">
        <v>3666</v>
      </c>
      <c r="E26" s="8" t="n">
        <v>4015</v>
      </c>
      <c r="F26" s="8" t="n">
        <v>5744</v>
      </c>
      <c r="G26" s="8" t="n">
        <v>7666</v>
      </c>
      <c r="H26" s="8" t="n">
        <v>9657</v>
      </c>
    </row>
    <row r="27">
      <c r="B27" s="20" t="inlineStr">
        <is>
          <t>Total Liabilities</t>
        </is>
      </c>
      <c r="C27" s="21">
        <f>C23+SUM(C24:C26)</f>
        <v/>
      </c>
      <c r="D27" s="21">
        <f>D23+SUM(D24:D26)</f>
        <v/>
      </c>
      <c r="E27" s="21">
        <f>E23+SUM(E24:E26)</f>
        <v/>
      </c>
      <c r="F27" s="21">
        <f>F23+SUM(F24:F26)</f>
        <v/>
      </c>
      <c r="G27" s="21">
        <f>G23+SUM(G24:G26)</f>
        <v/>
      </c>
      <c r="H27" s="21">
        <f>H23+SUM(H24:H26)</f>
        <v/>
      </c>
    </row>
    <row r="28" ht="6" customHeight="1"/>
    <row r="29" ht="15" customHeight="1">
      <c r="B29" s="5" t="inlineStr">
        <is>
          <t>PATRIMONIO</t>
        </is>
      </c>
    </row>
    <row r="30">
      <c r="B30" s="25" t="inlineStr">
        <is>
          <t>Additional Paid-In Capital and Retained Earnings (Deficit)</t>
        </is>
      </c>
      <c r="C30" s="8" t="n">
        <v>13754</v>
      </c>
      <c r="D30" s="8" t="n">
        <v>15349</v>
      </c>
      <c r="E30" s="8" t="n">
        <v>8504</v>
      </c>
      <c r="F30" s="8" t="n">
        <v>12682</v>
      </c>
      <c r="G30" s="8" t="n">
        <v>22476</v>
      </c>
      <c r="H30" s="8" t="n">
        <v>28083</v>
      </c>
    </row>
    <row r="31">
      <c r="B31" s="20" t="inlineStr">
        <is>
          <t>Total Stockholders' Equity</t>
        </is>
      </c>
      <c r="C31" s="21">
        <f>C30</f>
        <v/>
      </c>
      <c r="D31" s="21">
        <f>D30</f>
        <v/>
      </c>
      <c r="E31" s="21">
        <f>E30</f>
        <v/>
      </c>
      <c r="F31" s="21">
        <f>F30</f>
        <v/>
      </c>
      <c r="G31" s="21">
        <f>G30</f>
        <v/>
      </c>
      <c r="H31" s="21">
        <f>H30</f>
        <v/>
      </c>
    </row>
    <row r="32">
      <c r="B32" s="26" t="inlineStr">
        <is>
          <t>Total Liabilities and Stockholders' Equity</t>
        </is>
      </c>
      <c r="C32" s="27">
        <f>C27+C31</f>
        <v/>
      </c>
      <c r="D32" s="27">
        <f>D27+D31</f>
        <v/>
      </c>
      <c r="E32" s="27">
        <f>E27+E31</f>
        <v/>
      </c>
      <c r="F32" s="27">
        <f>F27+F31</f>
        <v/>
      </c>
      <c r="G32" s="27">
        <f>G27+G31</f>
        <v/>
      </c>
      <c r="H32" s="27">
        <f>H27+H31</f>
        <v/>
      </c>
    </row>
    <row r="33" ht="8" customHeight="1"/>
    <row r="34" ht="15" customHeight="1">
      <c r="B34" s="5" t="inlineStr">
        <is>
          <t>DATOS SUPLEMENTARIOS</t>
        </is>
      </c>
    </row>
    <row r="35">
      <c r="B35" s="28" t="inlineStr">
        <is>
          <t>Cash + Short-Term Investments ($M)</t>
        </is>
      </c>
      <c r="C35" s="10">
        <f>C6+C7</f>
        <v/>
      </c>
      <c r="D35" s="10">
        <f>D6+D7</f>
        <v/>
      </c>
      <c r="E35" s="10">
        <f>E6+E7</f>
        <v/>
      </c>
      <c r="F35" s="10">
        <f>F6+F7</f>
        <v/>
      </c>
      <c r="G35" s="10">
        <f>G6+G7</f>
        <v/>
      </c>
      <c r="H35" s="10">
        <f>H6+H7</f>
        <v/>
      </c>
    </row>
    <row r="36">
      <c r="B36" s="41" t="inlineStr">
        <is>
          <t>Long-Term Debt ($M)</t>
        </is>
      </c>
      <c r="C36" s="34">
        <f>C24</f>
        <v/>
      </c>
      <c r="D36" s="34">
        <f>D24</f>
        <v/>
      </c>
      <c r="E36" s="34">
        <f>E24</f>
        <v/>
      </c>
      <c r="F36" s="34">
        <f>F24</f>
        <v/>
      </c>
      <c r="G36" s="34">
        <f>G24</f>
        <v/>
      </c>
      <c r="H36" s="34">
        <f>H24</f>
        <v/>
      </c>
    </row>
    <row r="37">
      <c r="B37" s="28" t="inlineStr">
        <is>
          <t>Total Lease Liabilities ($M)</t>
        </is>
      </c>
      <c r="C37" s="10">
        <f>C25+C22</f>
        <v/>
      </c>
      <c r="D37" s="10">
        <f>D25+D22</f>
        <v/>
      </c>
      <c r="E37" s="10">
        <f>E25+E22</f>
        <v/>
      </c>
      <c r="F37" s="10">
        <f>F25+F22</f>
        <v/>
      </c>
      <c r="G37" s="10">
        <f>G25+G22</f>
        <v/>
      </c>
      <c r="H37" s="10">
        <f>H25+H22</f>
        <v/>
      </c>
    </row>
    <row r="38">
      <c r="B38" s="41" t="inlineStr">
        <is>
          <t>Net Debt ($M)</t>
        </is>
      </c>
      <c r="C38" s="34">
        <f>C36+C37-C35</f>
        <v/>
      </c>
      <c r="D38" s="34">
        <f>D36+D37-D35</f>
        <v/>
      </c>
      <c r="E38" s="34">
        <f>E36+E37-E35</f>
        <v/>
      </c>
      <c r="F38" s="34">
        <f>F36+F37-F35</f>
        <v/>
      </c>
      <c r="G38" s="34">
        <f>G36+G37-G35</f>
        <v/>
      </c>
      <c r="H38" s="34">
        <f>H36+H37-H35</f>
        <v/>
      </c>
    </row>
    <row r="39">
      <c r="B39" s="28" t="inlineStr">
        <is>
          <t>Book Value per Share ($)</t>
        </is>
      </c>
      <c r="C39" s="35" t="n">
        <v>7.846157356699525</v>
      </c>
      <c r="D39" s="35" t="n">
        <v>8.09751413860049</v>
      </c>
      <c r="E39" s="35" t="n">
        <v>4.305975401659806</v>
      </c>
      <c r="F39" s="35" t="n">
        <v>6.062779068544493</v>
      </c>
      <c r="G39" s="35" t="n">
        <v>10.45147430144477</v>
      </c>
      <c r="H39" s="35" t="n">
        <v>13.24863541366898</v>
      </c>
    </row>
    <row r="41">
      <c r="B41" s="16" t="inlineStr">
        <is>
          <t>Source: SEC EDGAR 10-K | Insurance Reserves estimated from 10-K footnotes | DCE Holdings Columbia Framework v4.3.0</t>
        </is>
      </c>
    </row>
  </sheetData>
  <mergeCells count="7">
    <mergeCell ref="B18:H18"/>
    <mergeCell ref="B41:H41"/>
    <mergeCell ref="B2:H2"/>
    <mergeCell ref="B29:H29"/>
    <mergeCell ref="B3:H3"/>
    <mergeCell ref="B5:H5"/>
    <mergeCell ref="B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B2:H27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 ht="18" customHeight="1">
      <c r="B2" s="17" t="inlineStr">
        <is>
          <t>CASH FLOW STATEMENT — Uber Technologies, Inc. | FY2020–FY2025 ($M)</t>
        </is>
      </c>
    </row>
    <row r="3">
      <c r="B3" s="18" t="inlineStr">
        <is>
          <t>Source: SEC EDGAR 10-K Annual Reports (FY2020–FY2025) | Values in USD millions</t>
        </is>
      </c>
    </row>
    <row r="4">
      <c r="B4" s="19" t="inlineStr">
        <is>
          <t>CONCEPTO ($M)</t>
        </is>
      </c>
      <c r="C4" s="19" t="inlineStr">
        <is>
          <t>FY 2020</t>
        </is>
      </c>
      <c r="D4" s="19" t="inlineStr">
        <is>
          <t>FY 2021</t>
        </is>
      </c>
      <c r="E4" s="19" t="inlineStr">
        <is>
          <t>FY 2022</t>
        </is>
      </c>
      <c r="F4" s="19" t="inlineStr">
        <is>
          <t>FY 2023</t>
        </is>
      </c>
      <c r="G4" s="19" t="inlineStr">
        <is>
          <t>FY 2024</t>
        </is>
      </c>
      <c r="H4" s="19" t="inlineStr">
        <is>
          <t>FY 2025</t>
        </is>
      </c>
    </row>
    <row r="5" ht="15" customHeight="1">
      <c r="B5" s="5" t="inlineStr">
        <is>
          <t>OPERACIONES</t>
        </is>
      </c>
    </row>
    <row r="6">
      <c r="B6" s="25" t="inlineStr">
        <is>
          <t>Net Income (Loss)</t>
        </is>
      </c>
      <c r="C6" s="8" t="n">
        <v>-6788</v>
      </c>
      <c r="D6" s="8" t="n">
        <v>-570</v>
      </c>
      <c r="E6" s="8" t="n">
        <v>-9138</v>
      </c>
      <c r="F6" s="8" t="n">
        <v>2156</v>
      </c>
      <c r="G6" s="8" t="n">
        <v>9845</v>
      </c>
      <c r="H6" s="8" t="n">
        <v>10093</v>
      </c>
    </row>
    <row r="7">
      <c r="B7" s="22" t="inlineStr">
        <is>
          <t>Depreciation and Amortization</t>
        </is>
      </c>
      <c r="C7" s="23" t="n">
        <v>575</v>
      </c>
      <c r="D7" s="23" t="n">
        <v>902</v>
      </c>
      <c r="E7" s="23" t="n">
        <v>947</v>
      </c>
      <c r="F7" s="23" t="n">
        <v>823</v>
      </c>
      <c r="G7" s="23" t="n">
        <v>737</v>
      </c>
      <c r="H7" s="23" t="n">
        <v>747</v>
      </c>
    </row>
    <row r="8">
      <c r="B8" s="25" t="inlineStr">
        <is>
          <t>Stock-Based Compensation</t>
        </is>
      </c>
      <c r="C8" s="8" t="n">
        <v>827</v>
      </c>
      <c r="D8" s="8" t="n">
        <v>1168</v>
      </c>
      <c r="E8" s="8" t="n">
        <v>1793</v>
      </c>
      <c r="F8" s="8" t="n">
        <v>1935</v>
      </c>
      <c r="G8" s="8" t="n">
        <v>1796</v>
      </c>
      <c r="H8" s="8" t="n">
        <v>1826</v>
      </c>
    </row>
    <row r="9">
      <c r="B9" s="22" t="inlineStr">
        <is>
          <t>Changes in Operating Assets and Liabilities and Other</t>
        </is>
      </c>
      <c r="C9" s="23" t="n">
        <v>2641</v>
      </c>
      <c r="D9" s="23" t="n">
        <v>-1945</v>
      </c>
      <c r="E9" s="23" t="n">
        <v>7040</v>
      </c>
      <c r="F9" s="23" t="n">
        <v>-1329</v>
      </c>
      <c r="G9" s="23" t="n">
        <v>-5241</v>
      </c>
      <c r="H9" s="23" t="n">
        <v>-2567</v>
      </c>
    </row>
    <row r="10">
      <c r="B10" s="20" t="inlineStr">
        <is>
          <t>Cash Provided by (Used in) Operating Activities</t>
        </is>
      </c>
      <c r="C10" s="21">
        <f>SUM(C6:C9)</f>
        <v/>
      </c>
      <c r="D10" s="21">
        <f>SUM(D6:D9)</f>
        <v/>
      </c>
      <c r="E10" s="21">
        <f>SUM(E6:E9)</f>
        <v/>
      </c>
      <c r="F10" s="21">
        <f>SUM(F6:F9)</f>
        <v/>
      </c>
      <c r="G10" s="21">
        <f>SUM(G6:G9)</f>
        <v/>
      </c>
      <c r="H10" s="21">
        <f>SUM(H6:H9)</f>
        <v/>
      </c>
    </row>
    <row r="11" ht="6" customHeight="1"/>
    <row r="12" ht="15" customHeight="1">
      <c r="B12" s="5" t="inlineStr">
        <is>
          <t>INVERSIÓN</t>
        </is>
      </c>
    </row>
    <row r="13">
      <c r="B13" s="25" t="inlineStr">
        <is>
          <t>Purchases of Property and Equipment (CapEx)</t>
        </is>
      </c>
      <c r="C13" s="8" t="n">
        <v>-616</v>
      </c>
      <c r="D13" s="8" t="n">
        <v>-298</v>
      </c>
      <c r="E13" s="8" t="n">
        <v>-252</v>
      </c>
      <c r="F13" s="8" t="n">
        <v>-223</v>
      </c>
      <c r="G13" s="8" t="n">
        <v>-242</v>
      </c>
      <c r="H13" s="8" t="n">
        <v>-336</v>
      </c>
    </row>
    <row r="14">
      <c r="B14" s="22" t="inlineStr">
        <is>
          <t>Acquisitions, Investments, and Other Investing Activities</t>
        </is>
      </c>
      <c r="C14" s="23" t="n">
        <v>-2253</v>
      </c>
      <c r="D14" s="23" t="n">
        <v>-903</v>
      </c>
      <c r="E14" s="23" t="n">
        <v>-1385</v>
      </c>
      <c r="F14" s="23" t="n">
        <v>-3003</v>
      </c>
      <c r="G14" s="23" t="n">
        <v>-2935</v>
      </c>
      <c r="H14" s="23" t="n">
        <v>-3228</v>
      </c>
    </row>
    <row r="15">
      <c r="B15" s="20" t="inlineStr">
        <is>
          <t>Cash Used in Investing Activities</t>
        </is>
      </c>
      <c r="C15" s="21">
        <f>SUM(C13:C14)</f>
        <v/>
      </c>
      <c r="D15" s="21">
        <f>SUM(D13:D14)</f>
        <v/>
      </c>
      <c r="E15" s="21">
        <f>SUM(E13:E14)</f>
        <v/>
      </c>
      <c r="F15" s="21">
        <f>SUM(F13:F14)</f>
        <v/>
      </c>
      <c r="G15" s="21">
        <f>SUM(G13:G14)</f>
        <v/>
      </c>
      <c r="H15" s="21">
        <f>SUM(H13:H14)</f>
        <v/>
      </c>
    </row>
    <row r="16" ht="6" customHeight="1"/>
    <row r="17" ht="15" customHeight="1">
      <c r="B17" s="5" t="inlineStr">
        <is>
          <t>FINANCIAMIENTO</t>
        </is>
      </c>
    </row>
    <row r="18">
      <c r="B18" s="25" t="inlineStr">
        <is>
          <t>Repurchases of Common Stock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-1252</v>
      </c>
      <c r="H18" s="8" t="n">
        <v>-6523</v>
      </c>
    </row>
    <row r="19">
      <c r="B19" s="22" t="inlineStr">
        <is>
          <t>Proceeds from Debt, Debt Repayments, and Other</t>
        </is>
      </c>
      <c r="C19" s="23" t="n">
        <v>1379</v>
      </c>
      <c r="D19" s="23" t="n">
        <v>1780</v>
      </c>
      <c r="E19" s="23" t="n">
        <v>15</v>
      </c>
      <c r="F19" s="23" t="n">
        <v>-95</v>
      </c>
      <c r="G19" s="23" t="n">
        <v>-835</v>
      </c>
      <c r="H19" s="23" t="n">
        <v>810</v>
      </c>
    </row>
    <row r="20">
      <c r="B20" s="20" t="inlineStr">
        <is>
          <t>Cash Provided by (Used in) Financing Activities</t>
        </is>
      </c>
      <c r="C20" s="21">
        <f>SUM(C18:C19)</f>
        <v/>
      </c>
      <c r="D20" s="21">
        <f>SUM(D18:D19)</f>
        <v/>
      </c>
      <c r="E20" s="21">
        <f>SUM(E18:E19)</f>
        <v/>
      </c>
      <c r="F20" s="21">
        <f>SUM(F18:F19)</f>
        <v/>
      </c>
      <c r="G20" s="21">
        <f>SUM(G18:G19)</f>
        <v/>
      </c>
      <c r="H20" s="21">
        <f>SUM(H18:H19)</f>
        <v/>
      </c>
    </row>
    <row r="21" ht="6" customHeight="1"/>
    <row r="22" ht="15" customHeight="1">
      <c r="B22" s="5" t="inlineStr">
        <is>
          <t>RESUMEN</t>
        </is>
      </c>
    </row>
    <row r="23">
      <c r="B23" s="28" t="inlineStr">
        <is>
          <t>Net Change in Cash and Cash Equivalents</t>
        </is>
      </c>
      <c r="C23" s="10">
        <f>C10+C15+C20</f>
        <v/>
      </c>
      <c r="D23" s="10">
        <f>D10+D15+D20</f>
        <v/>
      </c>
      <c r="E23" s="10">
        <f>E10+E15+E20</f>
        <v/>
      </c>
      <c r="F23" s="10">
        <f>F10+F15+F20</f>
        <v/>
      </c>
      <c r="G23" s="10">
        <f>G10+G15+G20</f>
        <v/>
      </c>
      <c r="H23" s="10">
        <f>H10+H15+H20</f>
        <v/>
      </c>
    </row>
    <row r="24" ht="6" customHeight="1"/>
    <row r="25">
      <c r="B25" s="26" t="inlineStr">
        <is>
          <t>Free Cash Flow (OCF + CapEx)</t>
        </is>
      </c>
      <c r="C25" s="27">
        <f>C10+C13</f>
        <v/>
      </c>
      <c r="D25" s="27">
        <f>D10+D13</f>
        <v/>
      </c>
      <c r="E25" s="27">
        <f>E10+E13</f>
        <v/>
      </c>
      <c r="F25" s="27">
        <f>F10+F13</f>
        <v/>
      </c>
      <c r="G25" s="27">
        <f>G10+G13</f>
        <v/>
      </c>
      <c r="H25" s="27">
        <f>H10+H13</f>
        <v/>
      </c>
    </row>
    <row r="27">
      <c r="B27" s="16" t="inlineStr">
        <is>
          <t>Source: SEC EDGAR 10-K (FY2020–FY2025) | FCF = Operating Cash Flow + CapEx | DCE Holdings Columbia Framework v4.3.0</t>
        </is>
      </c>
    </row>
  </sheetData>
  <mergeCells count="7">
    <mergeCell ref="B22:H22"/>
    <mergeCell ref="B17:H17"/>
    <mergeCell ref="B27:H27"/>
    <mergeCell ref="B12:H12"/>
    <mergeCell ref="B2:H2"/>
    <mergeCell ref="B3:H3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/>
  </sheetPr>
  <dimension ref="B2:I27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35" customWidth="1" min="9" max="9"/>
  </cols>
  <sheetData>
    <row r="2" ht="18" customHeight="1">
      <c r="B2" s="17" t="inlineStr">
        <is>
          <t>HEALTH CHECK — Uber Technologies, Inc. | Bloque C: Travel / Asset-Light</t>
        </is>
      </c>
    </row>
    <row r="3">
      <c r="B3" s="18" t="inlineStr">
        <is>
          <t>15 métricas: 11 universales (Capa 1) + 4 sectoriales (Capa 2, Bloque C — Travel/Asset-Light) | FY2025 data</t>
        </is>
      </c>
    </row>
    <row r="4">
      <c r="B4" s="19" t="inlineStr">
        <is>
          <t>METRIC</t>
        </is>
      </c>
      <c r="C4" s="19" t="inlineStr">
        <is>
          <t>Value</t>
        </is>
      </c>
      <c r="D4" s="19" t="inlineStr">
        <is>
          <t>Pass</t>
        </is>
      </c>
      <c r="E4" s="19" t="inlineStr">
        <is>
          <t>Monitor</t>
        </is>
      </c>
      <c r="F4" s="19" t="inlineStr">
        <is>
          <t>Fail</t>
        </is>
      </c>
      <c r="G4" s="19" t="inlineStr">
        <is>
          <t>Direction</t>
        </is>
      </c>
      <c r="H4" s="19" t="inlineStr">
        <is>
          <t>Status</t>
        </is>
      </c>
      <c r="I4" s="19" t="inlineStr">
        <is>
          <t>Note / Benchmark</t>
        </is>
      </c>
    </row>
    <row r="5">
      <c r="B5" s="18" t="inlineStr">
        <is>
          <t>SOLIDEZ FINANCIERA (Capa 1 — Universal)</t>
        </is>
      </c>
    </row>
    <row r="6">
      <c r="B6" s="28" t="inlineStr">
        <is>
          <t>Total Debt/Equity</t>
        </is>
      </c>
      <c r="C6" s="36" t="n">
        <v>0.3746394615959833</v>
      </c>
      <c r="D6" s="37" t="inlineStr">
        <is>
          <t>&lt;0.5×</t>
        </is>
      </c>
      <c r="E6" s="37" t="inlineStr">
        <is>
          <t>0.5–1.0×</t>
        </is>
      </c>
      <c r="F6" s="37" t="inlineStr">
        <is>
          <t>&gt;1.0×</t>
        </is>
      </c>
      <c r="G6" s="38" t="inlineStr">
        <is>
          <t>lower_better</t>
        </is>
      </c>
      <c r="H6" s="39" t="inlineStr">
        <is>
          <t>PASS</t>
        </is>
      </c>
      <c r="I6" s="40" t="inlineStr">
        <is>
          <t>Debt=LT Debt FY25; Equity=Total Stockholders' Equity FY25</t>
        </is>
      </c>
    </row>
    <row r="7">
      <c r="B7" s="41" t="inlineStr">
        <is>
          <t>Net Debt/EBITDA</t>
        </is>
      </c>
      <c r="C7" s="42" t="n">
        <v>0.7076702737110121</v>
      </c>
      <c r="D7" s="43" t="inlineStr">
        <is>
          <t>&lt;2×</t>
        </is>
      </c>
      <c r="E7" s="43" t="inlineStr">
        <is>
          <t>2–3×</t>
        </is>
      </c>
      <c r="F7" s="43" t="inlineStr">
        <is>
          <t>&gt;3×</t>
        </is>
      </c>
      <c r="G7" s="44" t="inlineStr">
        <is>
          <t>lower_better</t>
        </is>
      </c>
      <c r="H7" s="45" t="inlineStr">
        <is>
          <t>PASS</t>
        </is>
      </c>
      <c r="I7" s="46" t="inlineStr">
        <is>
          <t>Net Debt=4,447M; EBITDA=6,284M</t>
        </is>
      </c>
    </row>
    <row r="8">
      <c r="B8" s="28" t="inlineStr">
        <is>
          <t>Current Ratio</t>
        </is>
      </c>
      <c r="C8" s="36" t="n">
        <v>1.135795454545454</v>
      </c>
      <c r="D8" s="37" t="inlineStr">
        <is>
          <t>&gt;1.5×</t>
        </is>
      </c>
      <c r="E8" s="37" t="inlineStr">
        <is>
          <t>1.0–1.5×</t>
        </is>
      </c>
      <c r="F8" s="37" t="inlineStr">
        <is>
          <t>&lt;1.0×</t>
        </is>
      </c>
      <c r="G8" s="38" t="inlineStr">
        <is>
          <t>higher_better</t>
        </is>
      </c>
      <c r="H8" s="47" t="inlineStr">
        <is>
          <t>MONITOR</t>
        </is>
      </c>
      <c r="I8" s="40" t="inlineStr">
        <is>
          <t>TCA=13,993M; TCL=12,320M</t>
        </is>
      </c>
    </row>
    <row r="9">
      <c r="B9" s="41" t="inlineStr">
        <is>
          <t>Interest Coverage (EBIT/Interest)</t>
        </is>
      </c>
      <c r="C9" s="42" t="n">
        <v>12.64772727272727</v>
      </c>
      <c r="D9" s="43" t="inlineStr">
        <is>
          <t>&gt;5×</t>
        </is>
      </c>
      <c r="E9" s="43" t="inlineStr">
        <is>
          <t>2–5×</t>
        </is>
      </c>
      <c r="F9" s="43" t="inlineStr">
        <is>
          <t>&lt;2×</t>
        </is>
      </c>
      <c r="G9" s="44" t="inlineStr">
        <is>
          <t>higher_better</t>
        </is>
      </c>
      <c r="H9" s="45" t="inlineStr">
        <is>
          <t>PASS</t>
        </is>
      </c>
      <c r="I9" s="46" t="inlineStr">
        <is>
          <t>EBIT=5,565M; Interest Exp=440M</t>
        </is>
      </c>
    </row>
    <row r="10">
      <c r="B10" s="18" t="inlineStr">
        <is>
          <t>RENTABILIDAD (Capa 1 — Universal)</t>
        </is>
      </c>
    </row>
    <row r="11">
      <c r="B11" s="28" t="inlineStr">
        <is>
          <t>Operating Margin</t>
        </is>
      </c>
      <c r="C11" s="48" t="n">
        <v>0.1069842551473557</v>
      </c>
      <c r="D11" s="37" t="inlineStr">
        <is>
          <t>&gt;15%</t>
        </is>
      </c>
      <c r="E11" s="37" t="inlineStr">
        <is>
          <t>10–15%</t>
        </is>
      </c>
      <c r="F11" s="37" t="inlineStr">
        <is>
          <t>&lt;10%</t>
        </is>
      </c>
      <c r="G11" s="38" t="inlineStr">
        <is>
          <t>higher_better</t>
        </is>
      </c>
      <c r="H11" s="47" t="inlineStr">
        <is>
          <t>MONITOR</t>
        </is>
      </c>
      <c r="I11" s="40" t="inlineStr">
        <is>
          <t>OI=5,565M; Rev=52,017M</t>
        </is>
      </c>
    </row>
    <row r="12">
      <c r="B12" s="41" t="inlineStr">
        <is>
          <t>FCF Margin</t>
        </is>
      </c>
      <c r="C12" s="49" t="n">
        <v>0.1876886402522252</v>
      </c>
      <c r="D12" s="43" t="inlineStr">
        <is>
          <t>&gt;10%</t>
        </is>
      </c>
      <c r="E12" s="43" t="inlineStr">
        <is>
          <t>7–10%</t>
        </is>
      </c>
      <c r="F12" s="43" t="inlineStr">
        <is>
          <t>&lt;7%</t>
        </is>
      </c>
      <c r="G12" s="44" t="inlineStr">
        <is>
          <t>higher_better</t>
        </is>
      </c>
      <c r="H12" s="45" t="inlineStr">
        <is>
          <t>PASS</t>
        </is>
      </c>
      <c r="I12" s="46" t="inlineStr">
        <is>
          <t>FCF=9,763M; Rev=52,017M</t>
        </is>
      </c>
    </row>
    <row r="13">
      <c r="B13" s="28" t="inlineStr">
        <is>
          <t>ROIC</t>
        </is>
      </c>
      <c r="C13" s="48" t="n">
        <v>0.24</v>
      </c>
      <c r="D13" s="37" t="inlineStr">
        <is>
          <t>&gt;15%</t>
        </is>
      </c>
      <c r="E13" s="37" t="inlineStr">
        <is>
          <t>10–15%</t>
        </is>
      </c>
      <c r="F13" s="37" t="inlineStr">
        <is>
          <t>&lt;10%</t>
        </is>
      </c>
      <c r="G13" s="38" t="inlineStr">
        <is>
          <t>higher_better</t>
        </is>
      </c>
      <c r="H13" s="39" t="inlineStr">
        <is>
          <t>PASS</t>
        </is>
      </c>
      <c r="I13" s="40" t="inlineStr">
        <is>
          <t>Source: RATIOS FY2025</t>
        </is>
      </c>
    </row>
    <row r="14">
      <c r="B14" s="41" t="inlineStr">
        <is>
          <t>ROIC − WACC Spread</t>
        </is>
      </c>
      <c r="C14" s="49" t="n">
        <v>0.127</v>
      </c>
      <c r="D14" s="43" t="inlineStr">
        <is>
          <t>&gt;5pp</t>
        </is>
      </c>
      <c r="E14" s="43" t="inlineStr">
        <is>
          <t>0–5pp</t>
        </is>
      </c>
      <c r="F14" s="43" t="inlineStr">
        <is>
          <t>&lt;0pp</t>
        </is>
      </c>
      <c r="G14" s="44" t="inlineStr">
        <is>
          <t>higher_better</t>
        </is>
      </c>
      <c r="H14" s="45" t="inlineStr">
        <is>
          <t>PASS</t>
        </is>
      </c>
      <c r="I14" s="46" t="inlineStr">
        <is>
          <t>ROIC=24.0%; WACC=11.3%</t>
        </is>
      </c>
    </row>
    <row r="15">
      <c r="B15" s="18" t="inlineStr">
        <is>
          <t>CRECIMIENTO (Capa 1 — Universal)</t>
        </is>
      </c>
    </row>
    <row r="16">
      <c r="B16" s="28" t="inlineStr">
        <is>
          <t>Revenue CAGR 5yr</t>
        </is>
      </c>
      <c r="C16" s="48" t="n">
        <v>0.3610053095492587</v>
      </c>
      <c r="D16" s="37" t="inlineStr">
        <is>
          <t>&gt;10%</t>
        </is>
      </c>
      <c r="E16" s="37" t="inlineStr">
        <is>
          <t>5–10%</t>
        </is>
      </c>
      <c r="F16" s="37" t="inlineStr">
        <is>
          <t>&lt;5%</t>
        </is>
      </c>
      <c r="G16" s="38" t="inlineStr">
        <is>
          <t>higher_better</t>
        </is>
      </c>
      <c r="H16" s="39" t="inlineStr">
        <is>
          <t>PASS</t>
        </is>
      </c>
      <c r="I16" s="40" t="inlineStr">
        <is>
          <t>FY2020→FY2025: 11,139→52,017</t>
        </is>
      </c>
    </row>
    <row r="17">
      <c r="B17" s="41" t="inlineStr">
        <is>
          <t>EBITDA Growth YoY</t>
        </is>
      </c>
      <c r="C17" s="49" t="n">
        <v>0.7903133903133903</v>
      </c>
      <c r="D17" s="43" t="inlineStr">
        <is>
          <t>&gt;5%</t>
        </is>
      </c>
      <c r="E17" s="43" t="inlineStr">
        <is>
          <t>0–5%</t>
        </is>
      </c>
      <c r="F17" s="43" t="inlineStr">
        <is>
          <t>&lt;0%</t>
        </is>
      </c>
      <c r="G17" s="44" t="inlineStr">
        <is>
          <t>higher_better</t>
        </is>
      </c>
      <c r="H17" s="45" t="inlineStr">
        <is>
          <t>PASS</t>
        </is>
      </c>
      <c r="I17" s="46" t="inlineStr">
        <is>
          <t>FY2025=6,284M vs FY2024=3,510M</t>
        </is>
      </c>
    </row>
    <row r="18">
      <c r="B18" s="28" t="inlineStr">
        <is>
          <t>FCF CAGR 3yr</t>
        </is>
      </c>
      <c r="C18" s="48" t="n">
        <v>1.925316724495781</v>
      </c>
      <c r="D18" s="37" t="inlineStr">
        <is>
          <t>&gt;5%</t>
        </is>
      </c>
      <c r="E18" s="37" t="inlineStr">
        <is>
          <t>0–5%</t>
        </is>
      </c>
      <c r="F18" s="37" t="inlineStr">
        <is>
          <t>&lt;0%</t>
        </is>
      </c>
      <c r="G18" s="38" t="inlineStr">
        <is>
          <t>higher_better</t>
        </is>
      </c>
      <c r="H18" s="39" t="inlineStr">
        <is>
          <t>PASS</t>
        </is>
      </c>
      <c r="I18" s="40" t="inlineStr">
        <is>
          <t>FY2022→FY2025: 390→9,763</t>
        </is>
      </c>
    </row>
    <row r="19">
      <c r="B19" s="18" t="inlineStr">
        <is>
          <t>ESPECÍFICOS — BLOQUE C (Travel / Asset-Light Platforms)</t>
        </is>
      </c>
    </row>
    <row r="20">
      <c r="B20" s="28" t="inlineStr">
        <is>
          <t>Gross Margin</t>
        </is>
      </c>
      <c r="C20" s="48" t="n">
        <v>0.3975431109060499</v>
      </c>
      <c r="D20" s="37" t="inlineStr">
        <is>
          <t>&gt;85%</t>
        </is>
      </c>
      <c r="E20" s="37" t="inlineStr">
        <is>
          <t>75–85%</t>
        </is>
      </c>
      <c r="F20" s="37" t="inlineStr">
        <is>
          <t>&lt;75%</t>
        </is>
      </c>
      <c r="G20" s="38" t="inlineStr">
        <is>
          <t>higher_better</t>
        </is>
      </c>
      <c r="H20" s="50" t="inlineStr">
        <is>
          <t>FAIL</t>
        </is>
      </c>
      <c r="I20" s="40" t="inlineStr">
        <is>
          <t>GP=20,679M; Rev=52,017M → 39.8% — FAIL (Uber is semi-asset-light, ~40% GM)</t>
        </is>
      </c>
    </row>
    <row r="21">
      <c r="B21" s="41" t="inlineStr">
        <is>
          <t>Take Rate Stability (YoY Δ abs, bps)</t>
        </is>
      </c>
      <c r="C21" s="51" t="n">
        <v>0.3636368198608297</v>
      </c>
      <c r="D21" s="43" t="inlineStr">
        <is>
          <t>&lt;100bps</t>
        </is>
      </c>
      <c r="E21" s="43" t="inlineStr">
        <is>
          <t>100–200bps</t>
        </is>
      </c>
      <c r="F21" s="43" t="inlineStr">
        <is>
          <t>&gt;200bps</t>
        </is>
      </c>
      <c r="G21" s="44" t="inlineStr">
        <is>
          <t>lower_better</t>
        </is>
      </c>
      <c r="H21" s="45" t="inlineStr">
        <is>
          <t>PASS</t>
        </is>
      </c>
      <c r="I21" s="46" t="inlineStr">
        <is>
          <t>GP/Rev delta FY24→FY25 ~35bps — minimal movement</t>
        </is>
      </c>
    </row>
    <row r="22">
      <c r="B22" s="28" t="inlineStr">
        <is>
          <t>CapEx % Revenue</t>
        </is>
      </c>
      <c r="C22" s="48" t="n">
        <v>0.006459426725878078</v>
      </c>
      <c r="D22" s="37" t="inlineStr">
        <is>
          <t>&lt;3%</t>
        </is>
      </c>
      <c r="E22" s="37" t="inlineStr">
        <is>
          <t>3–6%</t>
        </is>
      </c>
      <c r="F22" s="37" t="inlineStr">
        <is>
          <t>&gt;6%</t>
        </is>
      </c>
      <c r="G22" s="38" t="inlineStr">
        <is>
          <t>lower_better</t>
        </is>
      </c>
      <c r="H22" s="39" t="inlineStr">
        <is>
          <t>PASS</t>
        </is>
      </c>
      <c r="I22" s="40" t="inlineStr">
        <is>
          <t>CapEx=336M; Rev=52,017M → 0.6%</t>
        </is>
      </c>
    </row>
    <row r="23">
      <c r="B23" s="41" t="inlineStr">
        <is>
          <t>SBC % Revenue</t>
        </is>
      </c>
      <c r="C23" s="49" t="n">
        <v>0.03510390833765884</v>
      </c>
      <c r="D23" s="43" t="inlineStr">
        <is>
          <t>&lt;5%</t>
        </is>
      </c>
      <c r="E23" s="43" t="inlineStr">
        <is>
          <t>5–10%</t>
        </is>
      </c>
      <c r="F23" s="43" t="inlineStr">
        <is>
          <t>&gt;10%</t>
        </is>
      </c>
      <c r="G23" s="44" t="inlineStr">
        <is>
          <t>lower_better</t>
        </is>
      </c>
      <c r="H23" s="45" t="inlineStr">
        <is>
          <t>PASS</t>
        </is>
      </c>
      <c r="I23" s="46" t="inlineStr">
        <is>
          <t>SBC=1,826M; Rev=52,017M → 3.5%</t>
        </is>
      </c>
    </row>
    <row r="25">
      <c r="B25" s="52" t="inlineStr">
        <is>
          <t>RESUMEN — Total PASS / MONITOR / FAIL</t>
        </is>
      </c>
      <c r="C25" s="53">
        <f>COUNTIF(H5:H30,"PASS")</f>
        <v/>
      </c>
      <c r="D25" s="54">
        <f>COUNTIF(H5:H30,"MONITOR")</f>
        <v/>
      </c>
      <c r="E25" s="55">
        <f>COUNTIF(H5:H30,"FAIL")</f>
        <v/>
      </c>
    </row>
    <row r="27">
      <c r="B27" s="16" t="inlineStr">
        <is>
          <t>Source: FY2025 10-K data | Bloque C per skill spec §3.5.2 | Gross Margin FAIL consistent with semi-asset-light model (39.8% vs &gt;85% threshold) | DCE Holdings Columbia Framework v4.3.0</t>
        </is>
      </c>
    </row>
  </sheetData>
  <mergeCells count="7">
    <mergeCell ref="B15:I15"/>
    <mergeCell ref="B2:I2"/>
    <mergeCell ref="B10:I10"/>
    <mergeCell ref="B3:I3"/>
    <mergeCell ref="B5:I5"/>
    <mergeCell ref="B19:I19"/>
    <mergeCell ref="B27:I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375623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6" t="inlineStr">
        <is>
          <t>KEY ROWS: inputs=11, econ_amort=20, sm_asset=26, growth_exp=25, econ_amort_ref=24</t>
        </is>
      </c>
    </row>
    <row r="2" ht="18" customHeight="1">
      <c r="B2" s="17" t="inlineStr">
        <is>
          <t>CAPITALIZACIÓN DE MARKETING (proxy S&amp;M) — Uber Technologies | Vida Útil: 4 Años</t>
        </is>
      </c>
    </row>
    <row r="4" ht="15" customHeight="1">
      <c r="B4" s="5" t="inlineStr">
        <is>
          <t>PARÁMETROS</t>
        </is>
      </c>
    </row>
    <row r="5">
      <c r="B5" s="57" t="inlineStr">
        <is>
          <t>Vida Útil (años)</t>
        </is>
      </c>
      <c r="C5" s="58" t="n">
        <v>4</v>
      </c>
    </row>
    <row r="6">
      <c r="B6" s="57" t="inlineStr">
        <is>
          <t>Proxy S&amp;M</t>
        </is>
      </c>
      <c r="C6" s="59" t="inlineStr">
        <is>
          <t>Sales and Marketing (línea propia 10-K — DP1)</t>
        </is>
      </c>
    </row>
    <row r="7">
      <c r="B7" s="57" t="inlineStr">
        <is>
          <t>Nota SBC</t>
        </is>
      </c>
      <c r="C7" s="60" t="inlineStr">
        <is>
          <t>SBC ya incluido en S&amp;M per UBER 10-K — no adjustment needed (DP5)</t>
        </is>
      </c>
    </row>
    <row r="8">
      <c r="B8" s="57" t="inlineStr">
        <is>
          <t>Ventana del modelo</t>
        </is>
      </c>
      <c r="C8" s="60" t="inlineStr">
        <is>
          <t>FY2021–FY2025 (5 años; cohorte FY2021 amortiza FY2021-2024, FY2022 amortiza FY2022-2025)</t>
        </is>
      </c>
    </row>
    <row r="9" ht="15" customHeight="1">
      <c r="B9" s="5" t="inlineStr">
        <is>
          <t>GASTO EN MARKETING POR AÑO — INPUTS</t>
        </is>
      </c>
    </row>
    <row r="10">
      <c r="B10" s="19" t="inlineStr">
        <is>
          <t>Cohorte / Año</t>
        </is>
      </c>
      <c r="C10" s="19" t="inlineStr">
        <is>
          <t>FY 2021</t>
        </is>
      </c>
      <c r="D10" s="19" t="inlineStr">
        <is>
          <t>FY 2022</t>
        </is>
      </c>
      <c r="E10" s="19" t="inlineStr">
        <is>
          <t>FY 2023</t>
        </is>
      </c>
      <c r="F10" s="19" t="inlineStr">
        <is>
          <t>FY 2024</t>
        </is>
      </c>
      <c r="G10" s="19" t="inlineStr">
        <is>
          <t>FY 2025</t>
        </is>
      </c>
    </row>
    <row r="11">
      <c r="B11" s="61" t="inlineStr">
        <is>
          <t>Sales and Marketing Expense ($M)</t>
        </is>
      </c>
      <c r="C11" s="62" t="n">
        <v>4789</v>
      </c>
      <c r="D11" s="62" t="n">
        <v>4756</v>
      </c>
      <c r="E11" s="62" t="n">
        <v>4356</v>
      </c>
      <c r="F11" s="62" t="n">
        <v>4337</v>
      </c>
      <c r="G11" s="62" t="n">
        <v>4898</v>
      </c>
    </row>
    <row r="12">
      <c r="B12" s="60" t="inlineStr">
        <is>
          <t>Source: SEC EDGAR 10-K FY2020-2025 | DP3: Life=4yr</t>
        </is>
      </c>
    </row>
    <row r="13" ht="15" customHeight="1">
      <c r="B13" s="5" t="inlineStr">
        <is>
          <t>MATRIZ DE AMORTIZACIÓN POR COHORTE</t>
        </is>
      </c>
    </row>
    <row r="14">
      <c r="B14" s="19" t="inlineStr">
        <is>
          <t>Cohorte \ Año Modelo</t>
        </is>
      </c>
      <c r="C14" s="19" t="inlineStr">
        <is>
          <t>FY 2021</t>
        </is>
      </c>
      <c r="D14" s="19" t="inlineStr">
        <is>
          <t>FY 2022</t>
        </is>
      </c>
      <c r="E14" s="19" t="inlineStr">
        <is>
          <t>FY 2023</t>
        </is>
      </c>
      <c r="F14" s="19" t="inlineStr">
        <is>
          <t>FY 2024</t>
        </is>
      </c>
      <c r="G14" s="19" t="inlineStr">
        <is>
          <t>FY 2025</t>
        </is>
      </c>
    </row>
    <row r="15">
      <c r="B15" s="28" t="inlineStr">
        <is>
          <t>Cohorte FY2021 ($M)</t>
        </is>
      </c>
      <c r="C15" s="10">
        <f>C11/4</f>
        <v/>
      </c>
      <c r="D15" s="10">
        <f>C11/4</f>
        <v/>
      </c>
      <c r="E15" s="10">
        <f>C11/4</f>
        <v/>
      </c>
      <c r="F15" s="10">
        <f>C11/4</f>
        <v/>
      </c>
      <c r="G15" s="63" t="inlineStr">
        <is>
          <t>-</t>
        </is>
      </c>
    </row>
    <row r="16">
      <c r="B16" s="28" t="inlineStr">
        <is>
          <t>Cohorte FY2022 ($M)</t>
        </is>
      </c>
      <c r="C16" s="63" t="inlineStr">
        <is>
          <t>-</t>
        </is>
      </c>
      <c r="D16" s="10">
        <f>D11/4</f>
        <v/>
      </c>
      <c r="E16" s="10">
        <f>D11/4</f>
        <v/>
      </c>
      <c r="F16" s="10">
        <f>D11/4</f>
        <v/>
      </c>
      <c r="G16" s="10">
        <f>D11/4</f>
        <v/>
      </c>
    </row>
    <row r="17">
      <c r="B17" s="28" t="inlineStr">
        <is>
          <t>Cohorte FY2023 ($M)</t>
        </is>
      </c>
      <c r="C17" s="63" t="inlineStr">
        <is>
          <t>-</t>
        </is>
      </c>
      <c r="D17" s="63" t="inlineStr">
        <is>
          <t>-</t>
        </is>
      </c>
      <c r="E17" s="10">
        <f>E11/4</f>
        <v/>
      </c>
      <c r="F17" s="10">
        <f>E11/4</f>
        <v/>
      </c>
      <c r="G17" s="10">
        <f>E11/4</f>
        <v/>
      </c>
    </row>
    <row r="18">
      <c r="B18" s="28" t="inlineStr">
        <is>
          <t>Cohorte FY2024 ($M)</t>
        </is>
      </c>
      <c r="C18" s="63" t="inlineStr">
        <is>
          <t>-</t>
        </is>
      </c>
      <c r="D18" s="63" t="inlineStr">
        <is>
          <t>-</t>
        </is>
      </c>
      <c r="E18" s="63" t="inlineStr">
        <is>
          <t>-</t>
        </is>
      </c>
      <c r="F18" s="10">
        <f>F11/4</f>
        <v/>
      </c>
      <c r="G18" s="10">
        <f>F11/4</f>
        <v/>
      </c>
    </row>
    <row r="19">
      <c r="B19" s="28" t="inlineStr">
        <is>
          <t>Cohorte FY2025 ($M)</t>
        </is>
      </c>
      <c r="C19" s="63" t="inlineStr">
        <is>
          <t>-</t>
        </is>
      </c>
      <c r="D19" s="63" t="inlineStr">
        <is>
          <t>-</t>
        </is>
      </c>
      <c r="E19" s="63" t="inlineStr">
        <is>
          <t>-</t>
        </is>
      </c>
      <c r="F19" s="63" t="inlineStr">
        <is>
          <t>-</t>
        </is>
      </c>
      <c r="G19" s="10">
        <f>G11/4</f>
        <v/>
      </c>
    </row>
    <row r="20">
      <c r="B20" s="26" t="inlineStr">
        <is>
          <t>Economic Amortization (Total)</t>
        </is>
      </c>
      <c r="C20" s="27">
        <f>SUM(C15:C19)</f>
        <v/>
      </c>
      <c r="D20" s="27">
        <f>SUM(D15:D19)</f>
        <v/>
      </c>
      <c r="E20" s="27">
        <f>SUM(E15:E19)</f>
        <v/>
      </c>
      <c r="F20" s="27">
        <f>SUM(F15:F19)</f>
        <v/>
      </c>
      <c r="G20" s="27">
        <f>SUM(G15:G19)</f>
        <v/>
      </c>
    </row>
    <row r="21" ht="15" customHeight="1">
      <c r="B21" s="5" t="inlineStr">
        <is>
          <t>RESUMEN S&amp;M CAPITALIZACIÓN</t>
        </is>
      </c>
    </row>
    <row r="22">
      <c r="B22" s="19" t="inlineStr"/>
      <c r="C22" s="19" t="inlineStr">
        <is>
          <t>FY 2021</t>
        </is>
      </c>
      <c r="D22" s="19" t="inlineStr">
        <is>
          <t>FY 2022</t>
        </is>
      </c>
      <c r="E22" s="19" t="inlineStr">
        <is>
          <t>FY 2023</t>
        </is>
      </c>
      <c r="F22" s="19" t="inlineStr">
        <is>
          <t>FY 2024</t>
        </is>
      </c>
      <c r="G22" s="19" t="inlineStr">
        <is>
          <t>FY 2025</t>
        </is>
      </c>
    </row>
    <row r="23">
      <c r="B23" s="24" t="inlineStr">
        <is>
          <t>Gasto Marketing ($M)</t>
        </is>
      </c>
      <c r="C23" s="64">
        <f>C11</f>
        <v/>
      </c>
      <c r="D23" s="64">
        <f>D11</f>
        <v/>
      </c>
      <c r="E23" s="64">
        <f>E11</f>
        <v/>
      </c>
      <c r="F23" s="64">
        <f>F11</f>
        <v/>
      </c>
      <c r="G23" s="64">
        <f>G11</f>
        <v/>
      </c>
    </row>
    <row r="24">
      <c r="B24" s="24" t="inlineStr">
        <is>
          <t>Economic Amortization ($M)</t>
        </is>
      </c>
      <c r="C24" s="64">
        <f>C20</f>
        <v/>
      </c>
      <c r="D24" s="64">
        <f>D20</f>
        <v/>
      </c>
      <c r="E24" s="64">
        <f>E20</f>
        <v/>
      </c>
      <c r="F24" s="64">
        <f>F20</f>
        <v/>
      </c>
      <c r="G24" s="64">
        <f>G20</f>
        <v/>
      </c>
    </row>
    <row r="25">
      <c r="B25" s="24" t="inlineStr">
        <is>
          <t>S&amp;M Growth Expense (Marketing − Econ. Amort.)</t>
        </is>
      </c>
      <c r="C25" s="64">
        <f>C23-C24</f>
        <v/>
      </c>
      <c r="D25" s="64">
        <f>D23-D24</f>
        <v/>
      </c>
      <c r="E25" s="64">
        <f>E23-E24</f>
        <v/>
      </c>
      <c r="F25" s="64">
        <f>F23-F24</f>
        <v/>
      </c>
      <c r="G25" s="64">
        <f>G23-G24</f>
        <v/>
      </c>
    </row>
    <row r="26">
      <c r="B26" s="26" t="inlineStr">
        <is>
          <t>S&amp;M Asset — Unamortized Balance ($M)</t>
        </is>
      </c>
      <c r="C26" s="27" t="n">
        <v>4789</v>
      </c>
      <c r="D26" s="27" t="n">
        <v>8348</v>
      </c>
      <c r="E26" s="27" t="n">
        <v>10318</v>
      </c>
      <c r="F26" s="27" t="n">
        <v>11179</v>
      </c>
      <c r="G26" s="27" t="n">
        <v>11518</v>
      </c>
    </row>
    <row r="27">
      <c r="B27" s="57" t="inlineStr">
        <is>
          <t>Growth Expense % of Marketing</t>
        </is>
      </c>
      <c r="C27" s="11">
        <f>C25/C23</f>
        <v/>
      </c>
      <c r="D27" s="11">
        <f>D25/D23</f>
        <v/>
      </c>
      <c r="E27" s="11">
        <f>E25/E23</f>
        <v/>
      </c>
      <c r="F27" s="11">
        <f>F25/F23</f>
        <v/>
      </c>
      <c r="G27" s="11">
        <f>G25/G23</f>
        <v/>
      </c>
    </row>
    <row r="29">
      <c r="B29" s="16" t="inlineStr">
        <is>
          <t>Source: SEC EDGAR 10-K | DP1: Sales and Marketing proxy | DP3: Life=4yr | Window FY2021-2025 (5 cohorts) | DCE Holdings Columbia Framework v4.3.0</t>
        </is>
      </c>
    </row>
  </sheetData>
  <mergeCells count="10">
    <mergeCell ref="B2:G2"/>
    <mergeCell ref="C7:G7"/>
    <mergeCell ref="C6:G6"/>
    <mergeCell ref="B9:G9"/>
    <mergeCell ref="B4:G4"/>
    <mergeCell ref="B12:G12"/>
    <mergeCell ref="B13:G13"/>
    <mergeCell ref="B21:G21"/>
    <mergeCell ref="C8:G8"/>
    <mergeCell ref="B29:G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375623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6" t="inlineStr">
        <is>
          <t>KEY ROWS: inputs=10, econ_amort=19, rd_asset=25, rd_growth=24, rd_econ_ref=23, rd_ref=22</t>
        </is>
      </c>
    </row>
    <row r="2" ht="18" customHeight="1">
      <c r="B2" s="17" t="inlineStr">
        <is>
          <t>CAPITALIZACIÓN DE R&amp;D — Uber Technologies | Vida Útil: 5 Años</t>
        </is>
      </c>
    </row>
    <row r="4" ht="15" customHeight="1">
      <c r="B4" s="5" t="inlineStr">
        <is>
          <t>PARÁMETROS</t>
        </is>
      </c>
    </row>
    <row r="5">
      <c r="B5" s="57" t="inlineStr">
        <is>
          <t>Vida Útil (años)</t>
        </is>
      </c>
      <c r="C5" s="58" t="n">
        <v>5</v>
      </c>
    </row>
    <row r="6">
      <c r="B6" s="57" t="inlineStr">
        <is>
          <t>R&amp;D DP2</t>
        </is>
      </c>
      <c r="C6" s="59" t="inlineStr">
        <is>
          <t>Capitalizar R&amp;D — Sí (DP2). Uber reports R&amp;D as separate line in 10-K.</t>
        </is>
      </c>
    </row>
    <row r="7">
      <c r="B7" s="57" t="inlineStr">
        <is>
          <t>Ventana del modelo</t>
        </is>
      </c>
      <c r="C7" s="60" t="inlineStr">
        <is>
          <t>FY2021–FY2025 (5 años; cohorte FY2021 amortiza perfectamente FY2021-2025)</t>
        </is>
      </c>
    </row>
    <row r="8" ht="15" customHeight="1">
      <c r="B8" s="5" t="inlineStr">
        <is>
          <t>GASTO EN R&amp;D POR AÑO — INPUTS</t>
        </is>
      </c>
    </row>
    <row r="9">
      <c r="B9" s="19" t="inlineStr">
        <is>
          <t>Cohorte / Año</t>
        </is>
      </c>
      <c r="C9" s="19" t="inlineStr">
        <is>
          <t>FY 2021</t>
        </is>
      </c>
      <c r="D9" s="19" t="inlineStr">
        <is>
          <t>FY 2022</t>
        </is>
      </c>
      <c r="E9" s="19" t="inlineStr">
        <is>
          <t>FY 2023</t>
        </is>
      </c>
      <c r="F9" s="19" t="inlineStr">
        <is>
          <t>FY 2024</t>
        </is>
      </c>
      <c r="G9" s="19" t="inlineStr">
        <is>
          <t>FY 2025</t>
        </is>
      </c>
    </row>
    <row r="10">
      <c r="B10" s="61" t="inlineStr">
        <is>
          <t>Research and Development Expense ($M)</t>
        </is>
      </c>
      <c r="C10" s="62" t="n">
        <v>2054</v>
      </c>
      <c r="D10" s="62" t="n">
        <v>2798</v>
      </c>
      <c r="E10" s="62" t="n">
        <v>3164</v>
      </c>
      <c r="F10" s="62" t="n">
        <v>3109</v>
      </c>
      <c r="G10" s="62" t="n">
        <v>3402</v>
      </c>
    </row>
    <row r="11">
      <c r="B11" s="60" t="inlineStr">
        <is>
          <t>Source: SEC EDGAR 10-K | DP4: Life=5yr</t>
        </is>
      </c>
    </row>
    <row r="12" ht="15" customHeight="1">
      <c r="B12" s="5" t="inlineStr">
        <is>
          <t>MATRIZ DE AMORTIZACIÓN POR COHORTE</t>
        </is>
      </c>
    </row>
    <row r="13">
      <c r="B13" s="19" t="inlineStr">
        <is>
          <t>Cohorte \ Año Modelo</t>
        </is>
      </c>
      <c r="C13" s="19" t="inlineStr">
        <is>
          <t>FY 2021</t>
        </is>
      </c>
      <c r="D13" s="19" t="inlineStr">
        <is>
          <t>FY 2022</t>
        </is>
      </c>
      <c r="E13" s="19" t="inlineStr">
        <is>
          <t>FY 2023</t>
        </is>
      </c>
      <c r="F13" s="19" t="inlineStr">
        <is>
          <t>FY 2024</t>
        </is>
      </c>
      <c r="G13" s="19" t="inlineStr">
        <is>
          <t>FY 2025</t>
        </is>
      </c>
    </row>
    <row r="14">
      <c r="B14" s="28" t="inlineStr">
        <is>
          <t>Cohorte FY2021 ($M)</t>
        </is>
      </c>
      <c r="C14" s="10">
        <f>C10/5</f>
        <v/>
      </c>
      <c r="D14" s="10">
        <f>C10/5</f>
        <v/>
      </c>
      <c r="E14" s="10">
        <f>C10/5</f>
        <v/>
      </c>
      <c r="F14" s="10">
        <f>C10/5</f>
        <v/>
      </c>
      <c r="G14" s="10">
        <f>C10/5</f>
        <v/>
      </c>
    </row>
    <row r="15">
      <c r="B15" s="28" t="inlineStr">
        <is>
          <t>Cohorte FY2022 ($M)</t>
        </is>
      </c>
      <c r="C15" s="63" t="inlineStr">
        <is>
          <t>-</t>
        </is>
      </c>
      <c r="D15" s="10">
        <f>D10/5</f>
        <v/>
      </c>
      <c r="E15" s="10">
        <f>D10/5</f>
        <v/>
      </c>
      <c r="F15" s="10">
        <f>D10/5</f>
        <v/>
      </c>
      <c r="G15" s="10">
        <f>D10/5</f>
        <v/>
      </c>
    </row>
    <row r="16">
      <c r="B16" s="28" t="inlineStr">
        <is>
          <t>Cohorte FY2023 ($M)</t>
        </is>
      </c>
      <c r="C16" s="63" t="inlineStr">
        <is>
          <t>-</t>
        </is>
      </c>
      <c r="D16" s="63" t="inlineStr">
        <is>
          <t>-</t>
        </is>
      </c>
      <c r="E16" s="10">
        <f>E10/5</f>
        <v/>
      </c>
      <c r="F16" s="10">
        <f>E10/5</f>
        <v/>
      </c>
      <c r="G16" s="10">
        <f>E10/5</f>
        <v/>
      </c>
    </row>
    <row r="17">
      <c r="B17" s="28" t="inlineStr">
        <is>
          <t>Cohorte FY2024 ($M)</t>
        </is>
      </c>
      <c r="C17" s="63" t="inlineStr">
        <is>
          <t>-</t>
        </is>
      </c>
      <c r="D17" s="63" t="inlineStr">
        <is>
          <t>-</t>
        </is>
      </c>
      <c r="E17" s="63" t="inlineStr">
        <is>
          <t>-</t>
        </is>
      </c>
      <c r="F17" s="10">
        <f>F10/5</f>
        <v/>
      </c>
      <c r="G17" s="10">
        <f>F10/5</f>
        <v/>
      </c>
    </row>
    <row r="18">
      <c r="B18" s="28" t="inlineStr">
        <is>
          <t>Cohorte FY2025 ($M)</t>
        </is>
      </c>
      <c r="C18" s="63" t="inlineStr">
        <is>
          <t>-</t>
        </is>
      </c>
      <c r="D18" s="63" t="inlineStr">
        <is>
          <t>-</t>
        </is>
      </c>
      <c r="E18" s="63" t="inlineStr">
        <is>
          <t>-</t>
        </is>
      </c>
      <c r="F18" s="63" t="inlineStr">
        <is>
          <t>-</t>
        </is>
      </c>
      <c r="G18" s="10">
        <f>G10/5</f>
        <v/>
      </c>
    </row>
    <row r="19">
      <c r="B19" s="26" t="inlineStr">
        <is>
          <t>Economic Amortization (Total)</t>
        </is>
      </c>
      <c r="C19" s="27">
        <f>SUM(C14:C18)</f>
        <v/>
      </c>
      <c r="D19" s="27">
        <f>SUM(D14:D18)</f>
        <v/>
      </c>
      <c r="E19" s="27">
        <f>SUM(E14:E18)</f>
        <v/>
      </c>
      <c r="F19" s="27">
        <f>SUM(F14:F18)</f>
        <v/>
      </c>
      <c r="G19" s="27">
        <f>SUM(G14:G18)</f>
        <v/>
      </c>
    </row>
    <row r="20" ht="15" customHeight="1">
      <c r="B20" s="5" t="inlineStr">
        <is>
          <t>RESUMEN R&amp;D CAPITALIZACIÓN</t>
        </is>
      </c>
    </row>
    <row r="21">
      <c r="B21" s="19" t="inlineStr"/>
      <c r="C21" s="19" t="inlineStr">
        <is>
          <t>FY 2021</t>
        </is>
      </c>
      <c r="D21" s="19" t="inlineStr">
        <is>
          <t>FY 2022</t>
        </is>
      </c>
      <c r="E21" s="19" t="inlineStr">
        <is>
          <t>FY 2023</t>
        </is>
      </c>
      <c r="F21" s="19" t="inlineStr">
        <is>
          <t>FY 2024</t>
        </is>
      </c>
      <c r="G21" s="19" t="inlineStr">
        <is>
          <t>FY 2025</t>
        </is>
      </c>
    </row>
    <row r="22">
      <c r="B22" s="24" t="inlineStr">
        <is>
          <t>Gasto R&amp;D ($M)</t>
        </is>
      </c>
      <c r="C22" s="64">
        <f>C10</f>
        <v/>
      </c>
      <c r="D22" s="64">
        <f>D10</f>
        <v/>
      </c>
      <c r="E22" s="64">
        <f>E10</f>
        <v/>
      </c>
      <c r="F22" s="64">
        <f>F10</f>
        <v/>
      </c>
      <c r="G22" s="64">
        <f>G10</f>
        <v/>
      </c>
    </row>
    <row r="23">
      <c r="B23" s="24" t="inlineStr">
        <is>
          <t>Economic Amortization ($M)</t>
        </is>
      </c>
      <c r="C23" s="64">
        <f>C19</f>
        <v/>
      </c>
      <c r="D23" s="64">
        <f>D19</f>
        <v/>
      </c>
      <c r="E23" s="64">
        <f>E19</f>
        <v/>
      </c>
      <c r="F23" s="64">
        <f>F19</f>
        <v/>
      </c>
      <c r="G23" s="64">
        <f>G19</f>
        <v/>
      </c>
    </row>
    <row r="24">
      <c r="B24" s="24" t="inlineStr">
        <is>
          <t>R&amp;D Growth Expense (R&amp;D − Econ. Amort.)</t>
        </is>
      </c>
      <c r="C24" s="64">
        <f>C22-C23</f>
        <v/>
      </c>
      <c r="D24" s="64">
        <f>D22-D23</f>
        <v/>
      </c>
      <c r="E24" s="64">
        <f>E22-E23</f>
        <v/>
      </c>
      <c r="F24" s="64">
        <f>F22-F23</f>
        <v/>
      </c>
      <c r="G24" s="64">
        <f>G22-G23</f>
        <v/>
      </c>
    </row>
    <row r="25">
      <c r="B25" s="26" t="inlineStr">
        <is>
          <t>R&amp;D Asset — Unamortized Balance ($M)</t>
        </is>
      </c>
      <c r="C25" s="27" t="n">
        <v>2054</v>
      </c>
      <c r="D25" s="27" t="n">
        <v>4441</v>
      </c>
      <c r="E25" s="27" t="n">
        <v>6635</v>
      </c>
      <c r="F25" s="27" t="n">
        <v>8141</v>
      </c>
      <c r="G25" s="27" t="n">
        <v>9318</v>
      </c>
    </row>
    <row r="26">
      <c r="B26" s="57" t="inlineStr">
        <is>
          <t>Growth Expense % of R&amp;D</t>
        </is>
      </c>
      <c r="C26" s="11">
        <f>C24/C22</f>
        <v/>
      </c>
      <c r="D26" s="11">
        <f>D24/D22</f>
        <v/>
      </c>
      <c r="E26" s="11">
        <f>E24/E22</f>
        <v/>
      </c>
      <c r="F26" s="11">
        <f>F24/F22</f>
        <v/>
      </c>
      <c r="G26" s="11">
        <f>G24/G22</f>
        <v/>
      </c>
    </row>
    <row r="28">
      <c r="B28" s="16" t="inlineStr">
        <is>
          <t>Source: SEC EDGAR 10-K | DP2: R&amp;D Capitalization=Yes | DP4: Life=5yr | FY2021 cohort amortizes exactly FY2021-2025 | DCE Holdings Columbia Framework v4.3.0</t>
        </is>
      </c>
    </row>
  </sheetData>
  <mergeCells count="9">
    <mergeCell ref="B2:G2"/>
    <mergeCell ref="B20:G20"/>
    <mergeCell ref="C7:G7"/>
    <mergeCell ref="B28:G28"/>
    <mergeCell ref="C6:G6"/>
    <mergeCell ref="B8:G8"/>
    <mergeCell ref="B4:G4"/>
    <mergeCell ref="B12:G12"/>
    <mergeCell ref="B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7030A0"/>
    <outlinePr summaryBelow="1" summaryRight="1"/>
    <pageSetUpPr/>
  </sheetPr>
  <dimension ref="B2:F42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6" customWidth="1" min="3" max="3"/>
    <col width="12" customWidth="1" min="4" max="4"/>
    <col width="18" customWidth="1" min="5" max="5"/>
    <col width="40" customWidth="1" min="6" max="6"/>
  </cols>
  <sheetData>
    <row r="2" ht="18" customHeight="1">
      <c r="B2" s="17" t="inlineStr">
        <is>
          <t>REPRODUCTION VALUE — Uber Technologies, Inc. | Asset Replication Cost</t>
        </is>
      </c>
    </row>
    <row r="3">
      <c r="B3" s="18" t="inlineStr">
        <is>
          <t>Reproduction Value: costo estimado de replicar los activos de Uber Technologies desde cero</t>
        </is>
      </c>
    </row>
    <row r="5">
      <c r="B5" s="19" t="inlineStr">
        <is>
          <t>CONCEPTO</t>
        </is>
      </c>
      <c r="C5" s="65" t="inlineStr">
        <is>
          <t>Valor Libro ($M)</t>
        </is>
      </c>
      <c r="D5" s="19" t="inlineStr">
        <is>
          <t>% Ajuste</t>
        </is>
      </c>
      <c r="E5" s="65" t="inlineStr">
        <is>
          <t>Valor Reproduction ($M)</t>
        </is>
      </c>
      <c r="F5" s="19" t="inlineStr">
        <is>
          <t>Método / Justificación</t>
        </is>
      </c>
    </row>
    <row r="6" ht="15" customHeight="1">
      <c r="B6" s="5" t="inlineStr">
        <is>
          <t>ACTIVOS TANGIBLES (del balance)</t>
        </is>
      </c>
    </row>
    <row r="7">
      <c r="B7" s="66" t="inlineStr">
        <is>
          <t>Cash and Cash Equivalents</t>
        </is>
      </c>
      <c r="C7" s="8" t="n">
        <v>7105</v>
      </c>
      <c r="D7" s="48" t="n">
        <v>1</v>
      </c>
      <c r="E7" s="10">
        <f>C7*D7</f>
        <v/>
      </c>
      <c r="F7" s="40" t="inlineStr">
        <is>
          <t>100% — efectivo líquido</t>
        </is>
      </c>
    </row>
    <row r="8">
      <c r="B8" s="67" t="inlineStr">
        <is>
          <t>Short-Term Investments</t>
        </is>
      </c>
      <c r="C8" s="23" t="n">
        <v>528</v>
      </c>
      <c r="D8" s="49" t="n">
        <v>1</v>
      </c>
      <c r="E8" s="34">
        <f>C8*D8</f>
        <v/>
      </c>
      <c r="F8" s="46" t="inlineStr">
        <is>
          <t>100% — securities líquidas</t>
        </is>
      </c>
    </row>
    <row r="9">
      <c r="B9" s="66" t="inlineStr">
        <is>
          <t>Accounts Receivable, Net</t>
        </is>
      </c>
      <c r="C9" s="8" t="n">
        <v>3827</v>
      </c>
      <c r="D9" s="48" t="n">
        <v>0.97</v>
      </c>
      <c r="E9" s="10">
        <f>C9*D9</f>
        <v/>
      </c>
      <c r="F9" s="40" t="inlineStr">
        <is>
          <t>97% — small credit risk on receivables</t>
        </is>
      </c>
    </row>
    <row r="10">
      <c r="B10" s="67" t="inlineStr">
        <is>
          <t>Other Current Assets</t>
        </is>
      </c>
      <c r="C10" s="23" t="n">
        <v>2533</v>
      </c>
      <c r="D10" s="49" t="n">
        <v>0.85</v>
      </c>
      <c r="E10" s="34">
        <f>C10*D10</f>
        <v/>
      </c>
      <c r="F10" s="46" t="inlineStr">
        <is>
          <t>85% — prepaid + other current</t>
        </is>
      </c>
    </row>
    <row r="11">
      <c r="B11" s="66" t="inlineStr">
        <is>
          <t>Property and Equipment, Net</t>
        </is>
      </c>
      <c r="C11" s="8" t="n">
        <v>3011</v>
      </c>
      <c r="D11" s="48" t="n">
        <v>1.1</v>
      </c>
      <c r="E11" s="10">
        <f>C11*D11</f>
        <v/>
      </c>
      <c r="F11" s="40" t="inlineStr">
        <is>
          <t>110% — replacement cost &gt; book (inflación)</t>
        </is>
      </c>
    </row>
    <row r="12">
      <c r="B12" s="67" t="inlineStr">
        <is>
          <t>Long-Term Investments (Non-Marketable Securities)</t>
        </is>
      </c>
      <c r="C12" s="23" t="n">
        <v>9465</v>
      </c>
      <c r="D12" s="49" t="n">
        <v>0.8</v>
      </c>
      <c r="E12" s="34">
        <f>C12*D12</f>
        <v/>
      </c>
      <c r="F12" s="46" t="inlineStr">
        <is>
          <t>80% — non-marketable equity (Aurora, Joby, Grab, Didi)</t>
        </is>
      </c>
    </row>
    <row r="13">
      <c r="B13" s="66" t="inlineStr">
        <is>
          <t>Other Non-Current Assets (ROU, DTA, Other)</t>
        </is>
      </c>
      <c r="C13" s="8" t="n">
        <v>2533</v>
      </c>
      <c r="D13" s="48" t="n">
        <v>0.75</v>
      </c>
      <c r="E13" s="10">
        <f>C13*D13</f>
        <v/>
      </c>
      <c r="F13" s="40" t="inlineStr">
        <is>
          <t>75% — ROU+DTA porción discount</t>
        </is>
      </c>
    </row>
    <row r="14">
      <c r="B14" s="20" t="inlineStr">
        <is>
          <t>Subtotal Activos Tangibles</t>
        </is>
      </c>
      <c r="C14" s="68" t="n"/>
      <c r="D14" s="68" t="n"/>
      <c r="E14" s="21">
        <f>SUM(E7:E13)</f>
        <v/>
      </c>
      <c r="F14" s="68" t="n"/>
    </row>
    <row r="15" ht="15" customHeight="1">
      <c r="B15" s="5" t="inlineStr">
        <is>
          <t>ACTIVOS INTANGIBLES (reconstruir desde cero)</t>
        </is>
      </c>
    </row>
    <row r="16">
      <c r="B16" s="66" t="inlineStr">
        <is>
          <t>Customer Relationships / Base de Usuarios (CAC × MAUs)</t>
        </is>
      </c>
      <c r="C16" s="8" t="n">
        <v>3740</v>
      </c>
      <c r="D16" s="38" t="inlineStr">
        <is>
          <t>CAC×MAU</t>
        </is>
      </c>
      <c r="E16" s="10" t="n">
        <v>3740</v>
      </c>
      <c r="F16" s="40" t="inlineStr">
        <is>
          <t>CAC ~$22 × 170M MAPCs FY25</t>
        </is>
      </c>
    </row>
    <row r="17">
      <c r="B17" s="67" t="inlineStr">
        <is>
          <t>Technology / Platform IP (Algorithms, Maps Integration, Safety AI)</t>
        </is>
      </c>
      <c r="C17" s="23" t="n">
        <v>14527</v>
      </c>
      <c r="D17" s="44" t="inlineStr">
        <is>
          <t>60%</t>
        </is>
      </c>
      <c r="E17" s="34">
        <f>C17*0.6</f>
        <v/>
      </c>
      <c r="F17" s="46" t="inlineStr">
        <is>
          <t>R&amp;D acum 5y FY21-25 × 60% efficiency</t>
        </is>
      </c>
    </row>
    <row r="18">
      <c r="B18" s="66" t="inlineStr">
        <is>
          <t>Brand Equity / Marketplace Trust</t>
        </is>
      </c>
      <c r="C18" s="8" t="n">
        <v>30000</v>
      </c>
      <c r="D18" s="38" t="inlineStr">
        <is>
          <t>60%</t>
        </is>
      </c>
      <c r="E18" s="10">
        <f>C18*0.6</f>
        <v/>
      </c>
      <c r="F18" s="40" t="inlineStr">
        <is>
          <t>S&amp;M acum 7y (proxy) × 60% efficiency</t>
        </is>
      </c>
    </row>
    <row r="19">
      <c r="B19" s="67" t="inlineStr">
        <is>
          <t>Regulatory Licenses / Operating Permits (160+ countries)</t>
        </is>
      </c>
      <c r="C19" s="23" t="n">
        <v>1500</v>
      </c>
      <c r="D19" s="44" t="inlineStr">
        <is>
          <t>100%</t>
        </is>
      </c>
      <c r="E19" s="34" t="n">
        <v>1500</v>
      </c>
      <c r="F19" s="46" t="inlineStr">
        <is>
          <t>160+ países, compliance + legal acumulado</t>
        </is>
      </c>
    </row>
    <row r="20">
      <c r="B20" s="66" t="inlineStr">
        <is>
          <t>S&amp;M Asset — Unamortized Balance (link to S&amp;M Cap)</t>
        </is>
      </c>
      <c r="C20" s="8" t="n">
        <v>0</v>
      </c>
      <c r="D20" s="48" t="inlineStr">
        <is>
          <t>100%</t>
        </is>
      </c>
      <c r="E20" s="10" t="n">
        <v>0</v>
      </c>
      <c r="F20" s="40" t="inlineStr">
        <is>
          <t>0 — evita doble conteo con Brand Equity</t>
        </is>
      </c>
    </row>
    <row r="21">
      <c r="B21" s="67" t="inlineStr">
        <is>
          <t>R&amp;D Asset — Unamortized Balance (link to R&amp;D Cap)</t>
        </is>
      </c>
      <c r="C21" s="23" t="n">
        <v>0</v>
      </c>
      <c r="D21" s="49" t="inlineStr">
        <is>
          <t>100%</t>
        </is>
      </c>
      <c r="E21" s="34" t="n">
        <v>0</v>
      </c>
      <c r="F21" s="46" t="inlineStr">
        <is>
          <t>0 — evita doble conteo con Technology IP</t>
        </is>
      </c>
    </row>
    <row r="22">
      <c r="B22" s="66" t="inlineStr">
        <is>
          <t>Goodwill (per 10-K)</t>
        </is>
      </c>
      <c r="C22" s="8" t="n">
        <v>8931</v>
      </c>
      <c r="D22" s="48" t="n">
        <v>0</v>
      </c>
      <c r="E22" s="10" t="n">
        <v>0</v>
      </c>
      <c r="F22" s="40" t="inlineStr">
        <is>
          <t>DP12 — Goodwill reconstruido individualmente</t>
        </is>
      </c>
    </row>
    <row r="23">
      <c r="B23" s="20" t="inlineStr">
        <is>
          <t>Subtotal Activos Intangibles (Reproduction)</t>
        </is>
      </c>
      <c r="C23" s="68" t="n"/>
      <c r="D23" s="68" t="n"/>
      <c r="E23" s="21">
        <f>SUM(E16:E22)</f>
        <v/>
      </c>
      <c r="F23" s="68" t="n"/>
    </row>
    <row r="24" ht="15" customHeight="1">
      <c r="B24" s="5" t="inlineStr">
        <is>
          <t>OTROS ACTIVOS</t>
        </is>
      </c>
    </row>
    <row r="25">
      <c r="B25" s="66" t="inlineStr">
        <is>
          <t>Deferred Tax Assets (Net)</t>
        </is>
      </c>
      <c r="C25" s="8" t="n">
        <v>3500</v>
      </c>
      <c r="D25" s="48" t="n">
        <v>0.7</v>
      </c>
      <c r="E25" s="10">
        <f>C25*D25</f>
        <v/>
      </c>
      <c r="F25" s="40" t="inlineStr">
        <is>
          <t>DP14 — 70% probabilidad realización</t>
        </is>
      </c>
    </row>
    <row r="26">
      <c r="B26" s="20" t="inlineStr">
        <is>
          <t>Subtotal Otros Activos</t>
        </is>
      </c>
      <c r="C26" s="68" t="n"/>
      <c r="D26" s="68" t="n"/>
      <c r="E26" s="21">
        <f>E25</f>
        <v/>
      </c>
      <c r="F26" s="68" t="n"/>
    </row>
    <row r="27">
      <c r="B27" s="20" t="inlineStr">
        <is>
          <t>Total Activos (Reproduction)</t>
        </is>
      </c>
      <c r="C27" s="68" t="n"/>
      <c r="D27" s="68" t="n"/>
      <c r="E27" s="21">
        <f>E14+E23+E26</f>
        <v/>
      </c>
      <c r="F27" s="68" t="n"/>
    </row>
    <row r="28" ht="15" customHeight="1">
      <c r="B28" s="5" t="inlineStr">
        <is>
          <t>PASIVOS</t>
        </is>
      </c>
    </row>
    <row r="29">
      <c r="B29" s="66" t="inlineStr">
        <is>
          <t>Total Current Liabilities</t>
        </is>
      </c>
      <c r="C29" s="8" t="n">
        <v>12320</v>
      </c>
      <c r="D29" s="48" t="n">
        <v>1</v>
      </c>
      <c r="E29" s="10">
        <f>C29</f>
        <v/>
      </c>
      <c r="F29" s="40" t="inlineStr">
        <is>
          <t>100% — pasivo contractual</t>
        </is>
      </c>
    </row>
    <row r="30">
      <c r="B30" s="67" t="inlineStr">
        <is>
          <t>Long-Term Debt</t>
        </is>
      </c>
      <c r="C30" s="23" t="n">
        <v>10521</v>
      </c>
      <c r="D30" s="49" t="n">
        <v>1</v>
      </c>
      <c r="E30" s="34">
        <f>C30</f>
        <v/>
      </c>
      <c r="F30" s="46" t="inlineStr">
        <is>
          <t>100% — pasivo contractual</t>
        </is>
      </c>
    </row>
    <row r="31">
      <c r="B31" s="66" t="inlineStr">
        <is>
          <t>Lease Liabilities (Total)</t>
        </is>
      </c>
      <c r="C31" s="8" t="n">
        <v>1390</v>
      </c>
      <c r="D31" s="48" t="n">
        <v>1</v>
      </c>
      <c r="E31" s="10">
        <f>C31</f>
        <v/>
      </c>
      <c r="F31" s="40" t="inlineStr">
        <is>
          <t>100% — pasivo contractual</t>
        </is>
      </c>
    </row>
    <row r="32">
      <c r="B32" s="67" t="inlineStr">
        <is>
          <t>Other Non-Current Liabilities</t>
        </is>
      </c>
      <c r="C32" s="23" t="n">
        <v>9657</v>
      </c>
      <c r="D32" s="49" t="n">
        <v>1</v>
      </c>
      <c r="E32" s="34">
        <f>C32</f>
        <v/>
      </c>
      <c r="F32" s="46" t="inlineStr">
        <is>
          <t>100% — pasivo contractual</t>
        </is>
      </c>
    </row>
    <row r="33">
      <c r="B33" s="20" t="inlineStr">
        <is>
          <t>Total Pasivos</t>
        </is>
      </c>
      <c r="C33" s="68" t="n"/>
      <c r="D33" s="68" t="n"/>
      <c r="E33" s="21">
        <f>SUM(E29:E32)</f>
        <v/>
      </c>
      <c r="F33" s="68" t="n"/>
    </row>
    <row r="34" ht="15" customHeight="1">
      <c r="B34" s="5" t="inlineStr">
        <is>
          <t>CÁLCULO REPRODUCTION VALUE</t>
        </is>
      </c>
    </row>
    <row r="35">
      <c r="B35" s="57" t="inlineStr">
        <is>
          <t>Total Activos (Reproduction)</t>
        </is>
      </c>
      <c r="E35" s="10">
        <f>E27</f>
        <v/>
      </c>
    </row>
    <row r="36">
      <c r="B36" s="57" t="inlineStr">
        <is>
          <t>(−) Total Pasivos</t>
        </is>
      </c>
      <c r="E36" s="10">
        <f>-E33</f>
        <v/>
      </c>
    </row>
    <row r="37">
      <c r="B37" s="26" t="inlineStr">
        <is>
          <t>Reproduction Value ($M)</t>
        </is>
      </c>
      <c r="C37" s="27" t="inlineStr"/>
      <c r="D37" s="27" t="inlineStr"/>
      <c r="E37" s="116">
        <f>E35+E36</f>
        <v/>
      </c>
      <c r="F37" s="27">
        <f>E35+E36</f>
        <v/>
      </c>
    </row>
    <row r="38">
      <c r="B38" s="57" t="inlineStr">
        <is>
          <t>Acciones Diluidas (M)</t>
        </is>
      </c>
      <c r="C38" t="n">
        <v>2119.69</v>
      </c>
      <c r="E38" s="69" t="n">
        <v>2119.69</v>
      </c>
    </row>
    <row r="39">
      <c r="B39" s="20" t="inlineStr">
        <is>
          <t>Reproduction Value por Acción ($)</t>
        </is>
      </c>
      <c r="C39" s="68" t="n"/>
      <c r="D39" s="68" t="n"/>
      <c r="E39" s="117">
        <f>E37/E38</f>
        <v/>
      </c>
      <c r="F39" s="68" t="n"/>
    </row>
    <row r="40">
      <c r="B40" s="40" t="inlineStr">
        <is>
          <t>NOTA: El Reproduction Value no captura el time-to-build: incluso con capital ilimitado, replicar Uber tomaría 10+ años. Este es un estimado conservador del valor de los activos. La brecha RV &lt;&lt; EPV es evidencia del moat de la plataforma.</t>
        </is>
      </c>
    </row>
    <row r="42">
      <c r="B42" s="16" t="inlineStr">
        <is>
          <t>Source: SEC EDGAR 10-K FY2025 | DP12: Goodwill=0% | DP13: Intangibles reconstructed | DP14: DTA=70% | DCE Holdings Columbia Framework v4.3.0</t>
        </is>
      </c>
    </row>
  </sheetData>
  <mergeCells count="9">
    <mergeCell ref="B6:F6"/>
    <mergeCell ref="B24:F24"/>
    <mergeCell ref="B2:F2"/>
    <mergeCell ref="B34:F34"/>
    <mergeCell ref="B15:F15"/>
    <mergeCell ref="B28:F28"/>
    <mergeCell ref="B42:F42"/>
    <mergeCell ref="B3:F3"/>
    <mergeCell ref="B40:F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833C00"/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56" t="inlineStr">
        <is>
          <t>KEY ROWS: nopat=25, tax_rate=6, rev_base=9, margin_norm=10, da_ref=31, capex_ref=32, opinc_limpio=16, adj_opinc_pretax=23, sm_addback=17, sm_econ=18, sm_growth_ref=19, rd_addback=20, rd_econ=21, rd_growth_ref=22, rev_row=12</t>
        </is>
      </c>
    </row>
    <row r="2" ht="18" customHeight="1">
      <c r="B2" s="17" t="inlineStr">
        <is>
          <t>NOPAT AJUSTADO — Uber Technologies | Normalized: Revenue × Margen Op</t>
        </is>
      </c>
    </row>
    <row r="3">
      <c r="B3" s="18" t="inlineStr">
        <is>
          <t>Window: FY2022–FY2025 (DP6) | Revenue Base = $52,017M | Margen Op Normalizado = 8.0% | Tax = 21% (DP8)</t>
        </is>
      </c>
    </row>
    <row r="4">
      <c r="B4" s="19" t="inlineStr">
        <is>
          <t>CONCEPTO</t>
        </is>
      </c>
      <c r="C4" s="19" t="inlineStr">
        <is>
          <t>Parámetros</t>
        </is>
      </c>
      <c r="D4" s="19" t="inlineStr">
        <is>
          <t>FY 2020</t>
        </is>
      </c>
      <c r="E4" s="19" t="inlineStr">
        <is>
          <t>FY 2021</t>
        </is>
      </c>
      <c r="F4" s="19" t="inlineStr">
        <is>
          <t>FY 2022</t>
        </is>
      </c>
      <c r="G4" s="19" t="inlineStr">
        <is>
          <t>FY 2023</t>
        </is>
      </c>
      <c r="H4" s="19" t="inlineStr">
        <is>
          <t>FY 2024</t>
        </is>
      </c>
      <c r="I4" s="19" t="inlineStr">
        <is>
          <t>FY 2025</t>
        </is>
      </c>
      <c r="J4" s="19" t="inlineStr">
        <is>
          <t>Normalizado</t>
        </is>
      </c>
    </row>
    <row r="5" ht="15" customHeight="1">
      <c r="B5" s="5" t="inlineStr">
        <is>
          <t>PARÁMETROS</t>
        </is>
      </c>
    </row>
    <row r="6">
      <c r="B6" s="57" t="inlineStr">
        <is>
          <t>Tax Rate Normalizado</t>
        </is>
      </c>
      <c r="C6" s="14" t="n">
        <v>0.21</v>
      </c>
      <c r="D6" s="9" t="inlineStr">
        <is>
          <t>DP8: statutory 21%</t>
        </is>
      </c>
    </row>
    <row r="7">
      <c r="B7" s="57" t="inlineStr">
        <is>
          <t>Items Normalizados</t>
        </is>
      </c>
      <c r="C7" s="60" t="inlineStr">
        <is>
          <t>Legal/settlements; Equity gains/losses (Didi/Aurora/Grab); Restructuring (DP7)</t>
        </is>
      </c>
    </row>
    <row r="8">
      <c r="B8" s="57" t="inlineStr">
        <is>
          <t>Ventana Normalización</t>
        </is>
      </c>
      <c r="C8" s="60" t="inlineStr">
        <is>
          <t>FY2022–FY2025 (4 años, DP6)</t>
        </is>
      </c>
    </row>
    <row r="9">
      <c r="B9" s="57" t="inlineStr">
        <is>
          <t>Revenue Base (No-Growth Scenario)</t>
        </is>
      </c>
      <c r="C9" s="8" t="n">
        <v>52017</v>
      </c>
      <c r="D9" s="9" t="inlineStr">
        <is>
          <t>Default = FY2025 Revenue. Analyst input — no-growth scenario base.</t>
        </is>
      </c>
    </row>
    <row r="10">
      <c r="B10" s="57" t="inlineStr">
        <is>
          <t>Margen Op Normalizado</t>
        </is>
      </c>
      <c r="C10" s="14" t="n">
        <v>0.08</v>
      </c>
      <c r="D10" s="9" t="inlineStr">
        <is>
          <t>Analyst choice: median FY22-25 clean margins = -5.7%, 3.0%, 6.4%, 10.7% → median~4.7%; 8.0% chosen as midpoint reflecting structural improvement</t>
        </is>
      </c>
    </row>
    <row r="11" ht="15" customHeight="1">
      <c r="B11" s="5" t="inlineStr">
        <is>
          <t>INGRESOS</t>
        </is>
      </c>
    </row>
    <row r="12">
      <c r="B12" s="71" t="inlineStr">
        <is>
          <t>Revenue ($M)</t>
        </is>
      </c>
      <c r="D12" s="72">
        <f>'2. IS'!C5</f>
        <v/>
      </c>
      <c r="E12" s="72">
        <f>'2. IS'!D5</f>
        <v/>
      </c>
      <c r="F12" s="72">
        <f>'2. IS'!E5</f>
        <v/>
      </c>
      <c r="G12" s="72">
        <f>'2. IS'!F5</f>
        <v/>
      </c>
      <c r="H12" s="72">
        <f>'2. IS'!G5</f>
        <v/>
      </c>
      <c r="I12" s="72">
        <f>'2. IS'!H5</f>
        <v/>
      </c>
      <c r="J12" s="72">
        <f>C9</f>
        <v/>
      </c>
    </row>
    <row r="13" ht="15" customHeight="1">
      <c r="B13" s="5" t="inlineStr">
        <is>
          <t>CÁLCULO — UTILIDAD OPERATIVA AJUSTADA</t>
        </is>
      </c>
    </row>
    <row r="14">
      <c r="B14" s="57" t="inlineStr">
        <is>
          <t>Utilidad Operativa Reportada ($M)</t>
        </is>
      </c>
      <c r="D14" s="73">
        <f>'2. IS'!C17</f>
        <v/>
      </c>
      <c r="E14" s="73">
        <f>'2. IS'!D17</f>
        <v/>
      </c>
      <c r="F14" s="73">
        <f>'2. IS'!E17</f>
        <v/>
      </c>
      <c r="G14" s="73">
        <f>'2. IS'!F17</f>
        <v/>
      </c>
      <c r="H14" s="73">
        <f>'2. IS'!G17</f>
        <v/>
      </c>
      <c r="I14" s="73">
        <f>'2. IS'!H17</f>
        <v/>
      </c>
    </row>
    <row r="15">
      <c r="B15" s="57" t="inlineStr">
        <is>
          <t>(+) Normalization Adjustment (Equity Gains/Losses reversed)</t>
        </is>
      </c>
      <c r="C15" s="9" t="inlineStr">
        <is>
          <t>DP7: Legal/settlements ≈ 0 for reported OpInc</t>
        </is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</row>
    <row r="16">
      <c r="B16" s="61" t="inlineStr">
        <is>
          <t>Utilidad Operativa Limpia ($M)</t>
        </is>
      </c>
      <c r="D16" s="74">
        <f>D14+D15</f>
        <v/>
      </c>
      <c r="E16" s="74">
        <f>E14+E15</f>
        <v/>
      </c>
      <c r="F16" s="74">
        <f>F14+F15</f>
        <v/>
      </c>
      <c r="G16" s="74">
        <f>G14+G15</f>
        <v/>
      </c>
      <c r="H16" s="74">
        <f>H14+H15</f>
        <v/>
      </c>
      <c r="I16" s="74">
        <f>I14+I15</f>
        <v/>
      </c>
      <c r="J16" s="21">
        <f>C9*C10</f>
        <v/>
      </c>
    </row>
    <row r="17">
      <c r="B17" s="57" t="inlineStr">
        <is>
          <t>(+) Sales and Marketing — Add-back Total ($M)</t>
        </is>
      </c>
      <c r="D17" s="73">
        <f>'2. IS'!C11</f>
        <v/>
      </c>
      <c r="E17" s="73">
        <f>'2. IS'!D11</f>
        <v/>
      </c>
      <c r="F17" s="73">
        <f>'2. IS'!E11</f>
        <v/>
      </c>
      <c r="G17" s="73">
        <f>'2. IS'!F11</f>
        <v/>
      </c>
      <c r="H17" s="73">
        <f>'2. IS'!G11</f>
        <v/>
      </c>
      <c r="I17" s="73">
        <f>'2. IS'!H11</f>
        <v/>
      </c>
      <c r="J17" s="73" t="n">
        <v>4898</v>
      </c>
    </row>
    <row r="18">
      <c r="B18" s="57" t="inlineStr">
        <is>
          <t>(−) Economic Amortization S&amp;M — Maintenance ($M)</t>
        </is>
      </c>
      <c r="D18" s="10" t="n">
        <v>0</v>
      </c>
      <c r="E18" s="10" t="n">
        <v>-1197</v>
      </c>
      <c r="F18" s="10" t="n">
        <v>-2386</v>
      </c>
      <c r="G18" s="10" t="n">
        <v>-3475</v>
      </c>
      <c r="H18" s="10" t="n">
        <v>-4560</v>
      </c>
      <c r="I18" s="10" t="n">
        <v>-4587</v>
      </c>
      <c r="J18" s="10" t="n">
        <v>-4587</v>
      </c>
    </row>
    <row r="19">
      <c r="B19" s="75" t="inlineStr">
        <is>
          <t>S&amp;M Growth Expense (ref. — no reduce NOPAT; es inversión)</t>
        </is>
      </c>
      <c r="D19" s="63" t="n">
        <v>3583</v>
      </c>
      <c r="E19" s="63" t="n">
        <v>3592</v>
      </c>
      <c r="F19" s="63" t="n">
        <v>2370</v>
      </c>
      <c r="G19" s="63" t="n">
        <v>881</v>
      </c>
      <c r="H19" s="63" t="n">
        <v>-223</v>
      </c>
      <c r="I19" s="63" t="n">
        <v>311</v>
      </c>
      <c r="J19" s="63" t="n">
        <v>311</v>
      </c>
    </row>
    <row r="20">
      <c r="B20" s="57" t="inlineStr">
        <is>
          <t>(+) Research and Development — Add-back Total ($M)</t>
        </is>
      </c>
      <c r="D20" s="73">
        <f>'2. IS'!C12</f>
        <v/>
      </c>
      <c r="E20" s="73">
        <f>'2. IS'!D12</f>
        <v/>
      </c>
      <c r="F20" s="73">
        <f>'2. IS'!E12</f>
        <v/>
      </c>
      <c r="G20" s="73">
        <f>'2. IS'!F12</f>
        <v/>
      </c>
      <c r="H20" s="73">
        <f>'2. IS'!G12</f>
        <v/>
      </c>
      <c r="I20" s="73">
        <f>'2. IS'!H12</f>
        <v/>
      </c>
      <c r="J20" s="73" t="n">
        <v>3402</v>
      </c>
    </row>
    <row r="21">
      <c r="B21" s="57" t="inlineStr">
        <is>
          <t>(−) Economic Amortization R&amp;D — Maintenance ($M)</t>
        </is>
      </c>
      <c r="D21" s="10" t="n">
        <v>0</v>
      </c>
      <c r="E21" s="10" t="n">
        <v>-411</v>
      </c>
      <c r="F21" s="10" t="n">
        <v>-970</v>
      </c>
      <c r="G21" s="10" t="n">
        <v>-1603</v>
      </c>
      <c r="H21" s="10" t="n">
        <v>-2225</v>
      </c>
      <c r="I21" s="10" t="n">
        <v>-2905</v>
      </c>
      <c r="J21" s="10" t="n">
        <v>-2905</v>
      </c>
    </row>
    <row r="22">
      <c r="B22" s="75" t="inlineStr">
        <is>
          <t>R&amp;D Growth Expense (ref. — no reduce NOPAT; es inversión)</t>
        </is>
      </c>
      <c r="D22" s="63" t="n">
        <v>2205</v>
      </c>
      <c r="E22" s="63" t="n">
        <v>1643</v>
      </c>
      <c r="F22" s="63" t="n">
        <v>1828</v>
      </c>
      <c r="G22" s="63" t="n">
        <v>1561</v>
      </c>
      <c r="H22" s="63" t="n">
        <v>884</v>
      </c>
      <c r="I22" s="63" t="n">
        <v>497</v>
      </c>
      <c r="J22" s="63" t="n">
        <v>497</v>
      </c>
    </row>
    <row r="23">
      <c r="B23" s="61" t="inlineStr">
        <is>
          <t>Utilidad Operativa Ajustada (pre-tax)</t>
        </is>
      </c>
      <c r="D23" s="74">
        <f>D16+D17+D18+D20+D21</f>
        <v/>
      </c>
      <c r="E23" s="74">
        <f>E16+E17+E18+E20+E21</f>
        <v/>
      </c>
      <c r="F23" s="74">
        <f>F16+F17+F18+F20+F21</f>
        <v/>
      </c>
      <c r="G23" s="74">
        <f>G16+G17+G18+G20+G21</f>
        <v/>
      </c>
      <c r="H23" s="74">
        <f>H16+H17+H18+H20+H21</f>
        <v/>
      </c>
      <c r="I23" s="74">
        <f>I16+I17+I18+I20+I21</f>
        <v/>
      </c>
      <c r="J23" s="21">
        <f>J16+J17+J18+J20+J21</f>
        <v/>
      </c>
    </row>
    <row r="24">
      <c r="B24" s="57" t="inlineStr">
        <is>
          <t>× (1 − Tax Rate Normalizado)</t>
        </is>
      </c>
      <c r="D24" s="11">
        <f>1-C6</f>
        <v/>
      </c>
      <c r="E24" s="11">
        <f>1-C6</f>
        <v/>
      </c>
      <c r="F24" s="11">
        <f>1-C6</f>
        <v/>
      </c>
      <c r="G24" s="11">
        <f>1-C6</f>
        <v/>
      </c>
      <c r="H24" s="11">
        <f>1-C6</f>
        <v/>
      </c>
      <c r="I24" s="11">
        <f>1-C6</f>
        <v/>
      </c>
      <c r="J24" s="11">
        <f>1-C6</f>
        <v/>
      </c>
    </row>
    <row r="25">
      <c r="B25" s="76" t="inlineStr">
        <is>
          <t>NOPAT Ajustado ($M)</t>
        </is>
      </c>
      <c r="D25" s="27">
        <f>D23*(1-C6)</f>
        <v/>
      </c>
      <c r="E25" s="27">
        <f>E23*(1-C6)</f>
        <v/>
      </c>
      <c r="F25" s="27">
        <f>F23*(1-C6)</f>
        <v/>
      </c>
      <c r="G25" s="27">
        <f>G23*(1-C6)</f>
        <v/>
      </c>
      <c r="H25" s="27">
        <f>H23*(1-C6)</f>
        <v/>
      </c>
      <c r="I25" s="27">
        <f>I23*(1-C6)</f>
        <v/>
      </c>
      <c r="J25" s="27">
        <f>J23*(1-C6)</f>
        <v/>
      </c>
    </row>
    <row r="26" ht="15" customHeight="1">
      <c r="B26" s="5" t="inlineStr">
        <is>
          <t>MÉTRICAS</t>
        </is>
      </c>
    </row>
    <row r="27">
      <c r="B27" s="57" t="inlineStr">
        <is>
          <t>Margen Op Limpio (OpInc Clean / Revenue)</t>
        </is>
      </c>
      <c r="D27" s="11">
        <f>D16/D12</f>
        <v/>
      </c>
      <c r="E27" s="11">
        <f>E16/E12</f>
        <v/>
      </c>
      <c r="F27" s="11">
        <f>F16/F12</f>
        <v/>
      </c>
      <c r="G27" s="11">
        <f>G16/G12</f>
        <v/>
      </c>
      <c r="H27" s="11">
        <f>H16/H12</f>
        <v/>
      </c>
      <c r="I27" s="11">
        <f>I16/I12</f>
        <v/>
      </c>
      <c r="J27" s="14">
        <f>C10</f>
        <v/>
      </c>
    </row>
    <row r="28">
      <c r="B28" s="57" t="inlineStr">
        <is>
          <t>NOPAT Margin %</t>
        </is>
      </c>
      <c r="D28" s="11">
        <f>D25/D12</f>
        <v/>
      </c>
      <c r="E28" s="11">
        <f>E25/E12</f>
        <v/>
      </c>
      <c r="F28" s="11">
        <f>F25/F12</f>
        <v/>
      </c>
      <c r="G28" s="11">
        <f>G25/G12</f>
        <v/>
      </c>
      <c r="H28" s="11">
        <f>H25/H12</f>
        <v/>
      </c>
      <c r="I28" s="11">
        <f>I25/I12</f>
        <v/>
      </c>
      <c r="J28" s="11">
        <f>J25/J12</f>
        <v/>
      </c>
    </row>
    <row r="29">
      <c r="B29" s="57" t="inlineStr">
        <is>
          <t>NOPAT YoY Growth %</t>
        </is>
      </c>
      <c r="D29" s="77" t="inlineStr">
        <is>
          <t>N/A</t>
        </is>
      </c>
      <c r="E29" s="11">
        <f>IF(ABS(D25)=0,0,(E25-D25)/ABS(D25))</f>
        <v/>
      </c>
      <c r="F29" s="11">
        <f>IF(ABS(E25)=0,0,(F25-E25)/ABS(E25))</f>
        <v/>
      </c>
      <c r="G29" s="11">
        <f>IF(ABS(F25)=0,0,(G25-F25)/ABS(F25))</f>
        <v/>
      </c>
      <c r="H29" s="11">
        <f>IF(ABS(G25)=0,0,(H25-G25)/ABS(G25))</f>
        <v/>
      </c>
      <c r="I29" s="11">
        <f>IF(ABS(H25)=0,0,(I25-H25)/ABS(H25))</f>
        <v/>
      </c>
    </row>
    <row r="30" ht="15" customHeight="1">
      <c r="B30" s="5" t="inlineStr">
        <is>
          <t>REFERENCIAS (para EPV y ROIC)</t>
        </is>
      </c>
    </row>
    <row r="31">
      <c r="B31" s="57" t="inlineStr">
        <is>
          <t>D&amp;A (Full Company) ($M)</t>
        </is>
      </c>
      <c r="D31" s="73">
        <f>'2. IS'!C14</f>
        <v/>
      </c>
      <c r="E31" s="73">
        <f>'2. IS'!D14</f>
        <v/>
      </c>
      <c r="F31" s="73">
        <f>'2. IS'!E14</f>
        <v/>
      </c>
      <c r="G31" s="73">
        <f>'2. IS'!F14</f>
        <v/>
      </c>
      <c r="H31" s="73">
        <f>'2. IS'!G14</f>
        <v/>
      </c>
      <c r="I31" s="73">
        <f>'2. IS'!H14</f>
        <v/>
      </c>
      <c r="J31" s="73" t="n">
        <v>719</v>
      </c>
    </row>
    <row r="32">
      <c r="B32" s="57" t="inlineStr">
        <is>
          <t>CapEx ($M)</t>
        </is>
      </c>
      <c r="D32" s="73">
        <f>'4. CF'!C13</f>
        <v/>
      </c>
      <c r="E32" s="73">
        <f>'4. CF'!D13</f>
        <v/>
      </c>
      <c r="F32" s="73">
        <f>'4. CF'!E13</f>
        <v/>
      </c>
      <c r="G32" s="73">
        <f>'4. CF'!F13</f>
        <v/>
      </c>
      <c r="H32" s="73">
        <f>'4. CF'!G13</f>
        <v/>
      </c>
      <c r="I32" s="73">
        <f>'4. CF'!H13</f>
        <v/>
      </c>
      <c r="J32" s="73" t="n">
        <v>-336</v>
      </c>
    </row>
    <row r="34">
      <c r="B34" s="16" t="inlineStr">
        <is>
          <t>Source: SEC EDGAR 10-K | DP6: FY2022-LTM window | DP7: equity gains in Other Income (not OpInc) | DP8: Tax=21% | Normalizado column uses Revenue Base × Margen Op Normalizado | DCE Holdings Columbia Framework v4.3.0</t>
        </is>
      </c>
    </row>
  </sheetData>
  <mergeCells count="13">
    <mergeCell ref="B11:J11"/>
    <mergeCell ref="B3:J3"/>
    <mergeCell ref="B5:J5"/>
    <mergeCell ref="B34:J34"/>
    <mergeCell ref="C7:J7"/>
    <mergeCell ref="D9:J9"/>
    <mergeCell ref="D6:J6"/>
    <mergeCell ref="B26:J26"/>
    <mergeCell ref="C8:J8"/>
    <mergeCell ref="D10:J10"/>
    <mergeCell ref="B13:J13"/>
    <mergeCell ref="B30:J30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7030A0"/>
    <outlinePr summaryBelow="1" summaryRight="1"/>
    <pageSetUpPr/>
  </sheetPr>
  <dimension ref="B2:G47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6" customWidth="1" min="3" max="3"/>
    <col width="25" customWidth="1" min="4" max="4"/>
    <col width="12" customWidth="1" min="5" max="5"/>
    <col width="12" customWidth="1" min="6" max="6"/>
  </cols>
  <sheetData>
    <row r="2" ht="18" customHeight="1">
      <c r="B2" s="17" t="inlineStr">
        <is>
          <t>EPV — EARNINGS POWER VALUE | Uber Technologies | Zero-Growth Perpetuity</t>
        </is>
      </c>
    </row>
    <row r="3">
      <c r="B3" s="18" t="inlineStr">
        <is>
          <t>WACC=11.3% (DP11) | NOPAT Normalizado linked from NOPAT sheet | Maintenance CapEx = D&amp;A</t>
        </is>
      </c>
    </row>
    <row r="5" ht="15" customHeight="1">
      <c r="B5" s="5" t="inlineStr">
        <is>
          <t>SECCIÓN 1: WACC</t>
        </is>
      </c>
    </row>
    <row r="6">
      <c r="B6" s="57" t="inlineStr">
        <is>
          <t>Risk-Free Rate (Rf)</t>
        </is>
      </c>
      <c r="C6" s="14" t="n">
        <v>0.043</v>
      </c>
      <c r="D6" s="60" t="inlineStr">
        <is>
          <t>US 10yr Treasury ~ 4.3%</t>
        </is>
      </c>
    </row>
    <row r="7">
      <c r="B7" s="57" t="inlineStr">
        <is>
          <t>Beta (Levered)</t>
        </is>
      </c>
      <c r="C7" s="78" t="n">
        <v>1.3</v>
      </c>
      <c r="D7" s="60" t="inlineStr">
        <is>
          <t>5yr monthly beta vs S&amp;P 500 (DP11)</t>
        </is>
      </c>
    </row>
    <row r="8">
      <c r="B8" s="57" t="inlineStr">
        <is>
          <t>Equity Risk Premium (ERP)</t>
        </is>
      </c>
      <c r="C8" s="14" t="n">
        <v>0.055</v>
      </c>
      <c r="D8" s="60" t="inlineStr">
        <is>
          <t>Damodaran US ERP 5.5% (DP11)</t>
        </is>
      </c>
    </row>
    <row r="9">
      <c r="B9" s="20" t="inlineStr">
        <is>
          <t>Cost of Equity (Ke)</t>
        </is>
      </c>
      <c r="C9" s="79">
        <f>C6+C7*C8</f>
        <v/>
      </c>
      <c r="D9" s="80" t="inlineStr">
        <is>
          <t>CAPM: Rf + β × ERP</t>
        </is>
      </c>
      <c r="E9" s="68" t="n"/>
      <c r="F9" s="68" t="n"/>
    </row>
    <row r="10">
      <c r="B10" s="57" t="inlineStr">
        <is>
          <t>Cost of Debt (Kd pre-tax)</t>
        </is>
      </c>
      <c r="C10" s="14" t="n">
        <v>0.05</v>
      </c>
      <c r="D10" s="60" t="inlineStr">
        <is>
          <t>5.0% weighted avg cost of debt (DP11)</t>
        </is>
      </c>
    </row>
    <row r="11">
      <c r="B11" s="57" t="inlineStr">
        <is>
          <t>Tax Rate (normalized)</t>
        </is>
      </c>
      <c r="C11" s="81">
        <f>'9. NOPAT'!C6</f>
        <v/>
      </c>
      <c r="D11" s="60" t="inlineStr">
        <is>
          <t>Link to NOPAT Tax Rate parameter</t>
        </is>
      </c>
    </row>
    <row r="12">
      <c r="B12" s="57" t="inlineStr">
        <is>
          <t>Cost of Debt (Kd post-tax)</t>
        </is>
      </c>
      <c r="C12" s="11">
        <f>C10*(1-C11)</f>
        <v/>
      </c>
    </row>
    <row r="13">
      <c r="B13" s="57" t="inlineStr">
        <is>
          <t>E / (D+E)</t>
        </is>
      </c>
      <c r="C13" s="11">
        <f>143306/(143306+10521+1390)</f>
        <v/>
      </c>
      <c r="D13" s="60" t="inlineStr">
        <is>
          <t>MCap/(MCap+Debt+Leases)</t>
        </is>
      </c>
    </row>
    <row r="14">
      <c r="B14" s="57" t="inlineStr">
        <is>
          <t>D / (D+E)</t>
        </is>
      </c>
      <c r="C14" s="11">
        <f>1-C13</f>
        <v/>
      </c>
    </row>
    <row r="15">
      <c r="B15" s="26" t="inlineStr">
        <is>
          <t>WACC</t>
        </is>
      </c>
      <c r="C15" s="118" t="n">
        <v>0.113</v>
      </c>
      <c r="D15" s="83" t="inlineStr">
        <is>
          <t>DP11 — IPS USD floor 10% / EUR floor 11%</t>
        </is>
      </c>
      <c r="E15" s="84" t="n"/>
      <c r="F15" s="84" t="n"/>
    </row>
    <row r="16" ht="6" customHeight="1"/>
    <row r="17" ht="15" customHeight="1">
      <c r="B17" s="5" t="inlineStr">
        <is>
          <t>SECCIÓN 2: CÁLCULO EPV</t>
        </is>
      </c>
    </row>
    <row r="18">
      <c r="B18" s="57" t="inlineStr">
        <is>
          <t>Adj. Operating Income (Normalizado, pre-tax) ($M)</t>
        </is>
      </c>
      <c r="C18" s="73">
        <f>'9. NOPAT'!J23</f>
        <v/>
      </c>
      <c r="D18" s="60" t="inlineStr">
        <is>
          <t>Link to NOPAT Sheet — Normalizado column</t>
        </is>
      </c>
    </row>
    <row r="19">
      <c r="B19" s="57" t="inlineStr">
        <is>
          <t>× (1 − Tax Rate)</t>
        </is>
      </c>
      <c r="C19" s="11">
        <f>1-C11</f>
        <v/>
      </c>
    </row>
    <row r="20">
      <c r="B20" s="20" t="inlineStr">
        <is>
          <t>NOPAT Normalizado ($M)</t>
        </is>
      </c>
      <c r="C20" s="21">
        <f>'9. NOPAT'!J25</f>
        <v/>
      </c>
      <c r="D20" s="85" t="inlineStr">
        <is>
          <t>Link to NOPAT sheet Normalizado column (Row J)</t>
        </is>
      </c>
      <c r="E20" s="86" t="n"/>
      <c r="F20" s="86" t="n"/>
    </row>
    <row r="21">
      <c r="B21" s="57" t="inlineStr">
        <is>
          <t>(+) D&amp;A (non-cash add-back)</t>
        </is>
      </c>
      <c r="C21" s="73">
        <f>'9. NOPAT'!J31</f>
        <v/>
      </c>
      <c r="D21" s="60" t="inlineStr">
        <is>
          <t>FY2025 D&amp;A = $719M</t>
        </is>
      </c>
    </row>
    <row r="22">
      <c r="B22" s="57" t="inlineStr">
        <is>
          <t>(−) Maintenance CapEx (Zero-Growth)</t>
        </is>
      </c>
      <c r="C22" s="8" t="n">
        <v>719</v>
      </c>
      <c r="D22" s="60" t="inlineStr">
        <is>
          <t>Default = D&amp;A. Override if Maint. CapEx ≠ D&amp;A. Uber: asset-light → Maint.CapEx ≈ D&amp;A.</t>
        </is>
      </c>
    </row>
    <row r="23">
      <c r="B23" s="26" t="inlineStr">
        <is>
          <t>EPV Operaciones = (NOPAT + D&amp;A − Maint.CapEx) / WACC</t>
        </is>
      </c>
      <c r="C23" s="27">
        <f>(C20+C21-C22)/C15</f>
        <v/>
      </c>
      <c r="D23" s="83" t="inlineStr">
        <is>
          <t>Zero-growth enterprise value</t>
        </is>
      </c>
      <c r="E23" s="84" t="n"/>
      <c r="F23" s="84" t="n"/>
    </row>
    <row r="24" ht="6" customHeight="1"/>
    <row r="25">
      <c r="B25" s="57" t="inlineStr">
        <is>
          <t>(+) Excess Cash (Cash+STI − 2% Rev. buffer)</t>
        </is>
      </c>
      <c r="C25" s="10">
        <f>(7105+528)-(0.02*52017)</f>
        <v/>
      </c>
      <c r="D25" s="60" t="inlineStr">
        <is>
          <t>DP10: Cash+STI=$7,633M; 2%×52,017=$1,040M buffer; Excess=$6,593M</t>
        </is>
      </c>
    </row>
    <row r="26">
      <c r="B26" s="57" t="inlineStr">
        <is>
          <t>(+) Non-Operating Assets (Equity Stakes)</t>
        </is>
      </c>
      <c r="C26" s="8" t="n">
        <v>9465</v>
      </c>
      <c r="D26" s="60" t="inlineStr">
        <is>
          <t>DP10: LT Investments (Aurora, Didi, etc.) at book value</t>
        </is>
      </c>
    </row>
    <row r="27">
      <c r="B27" s="57" t="inlineStr">
        <is>
          <t>(−) Total Long-Term Debt</t>
        </is>
      </c>
      <c r="C27" s="10" t="n">
        <v>-10521</v>
      </c>
    </row>
    <row r="28">
      <c r="B28" s="57" t="inlineStr">
        <is>
          <t>(−) Lease Liabilities (ASC 842)</t>
        </is>
      </c>
      <c r="C28" s="10" t="n">
        <v>-1390</v>
      </c>
    </row>
    <row r="29">
      <c r="B29" s="57" t="inlineStr">
        <is>
          <t>(−) Minority Interest</t>
        </is>
      </c>
      <c r="C29" s="10" t="n">
        <v>0</v>
      </c>
    </row>
    <row r="30">
      <c r="B30" s="20" t="inlineStr">
        <is>
          <t>EPV Equity ($M)</t>
        </is>
      </c>
      <c r="C30" s="21">
        <f>C23+C25+C26+C27+C28+C29</f>
        <v/>
      </c>
      <c r="D30" s="86" t="n"/>
      <c r="E30" s="86" t="n"/>
      <c r="F30" s="86" t="n"/>
    </row>
    <row r="31">
      <c r="B31" s="57" t="inlineStr">
        <is>
          <t>Acciones Diluidas (M)</t>
        </is>
      </c>
      <c r="C31" s="69" t="n">
        <v>2119.69</v>
      </c>
    </row>
    <row r="32">
      <c r="B32" s="26" t="inlineStr">
        <is>
          <t>EPV por Acción ($)</t>
        </is>
      </c>
      <c r="C32" s="87">
        <f>C30/C31</f>
        <v/>
      </c>
      <c r="D32" s="84" t="n"/>
      <c r="E32" s="84" t="n"/>
      <c r="F32" s="84" t="n"/>
    </row>
    <row r="33" ht="6" customHeight="1"/>
    <row r="34" ht="15" customHeight="1">
      <c r="B34" s="5" t="inlineStr">
        <is>
          <t>SECCIÓN 3: BRIDGE EPV OPERACIONES → EQUITY EPV</t>
        </is>
      </c>
    </row>
    <row r="35">
      <c r="B35" s="57" t="inlineStr">
        <is>
          <t>Precio Actual ($)</t>
        </is>
      </c>
      <c r="C35" s="12" t="n">
        <v>70.40000000000001</v>
      </c>
    </row>
    <row r="36">
      <c r="B36" s="57" t="inlineStr">
        <is>
          <t>EPV/Acción ($)</t>
        </is>
      </c>
      <c r="C36" s="35">
        <f>C32</f>
        <v/>
      </c>
    </row>
    <row r="37">
      <c r="B37" s="20" t="inlineStr">
        <is>
          <t>Descuento / Prima vs Precio</t>
        </is>
      </c>
      <c r="C37" s="79">
        <f>(C32-C35)/C32</f>
        <v/>
      </c>
      <c r="D37" s="85" t="inlineStr">
        <is>
          <t>Positive = EPV &gt; Price (discount to EPV)</t>
        </is>
      </c>
      <c r="E37" s="86" t="n"/>
      <c r="F37" s="86" t="n"/>
    </row>
    <row r="38" ht="6" customHeight="1"/>
    <row r="39">
      <c r="B39" s="24" t="inlineStr">
        <is>
          <t>SENSIBILIDAD EPV/ACCIÓN ($) — WACC (filas) × Margen Op Norm (columnas)</t>
        </is>
      </c>
    </row>
    <row r="40">
      <c r="B40" s="19" t="inlineStr">
        <is>
          <t>WACC \ Margen Op</t>
        </is>
      </c>
      <c r="C40" s="88" t="n">
        <v>0.06</v>
      </c>
      <c r="D40" s="88" t="n">
        <v>0.07000000000000001</v>
      </c>
      <c r="E40" s="88" t="n">
        <v>0.08</v>
      </c>
      <c r="F40" s="88" t="n">
        <v>0.09</v>
      </c>
      <c r="G40" s="88" t="n">
        <v>0.1</v>
      </c>
    </row>
    <row r="41">
      <c r="B41" s="88" t="n">
        <v>0.1</v>
      </c>
      <c r="C41" s="35" t="n">
        <v>13.59</v>
      </c>
      <c r="D41" s="35" t="n">
        <v>15.53</v>
      </c>
      <c r="E41" s="35" t="n">
        <v>17.47</v>
      </c>
      <c r="F41" s="35" t="n">
        <v>19.4</v>
      </c>
      <c r="G41" s="35" t="n">
        <v>21.34</v>
      </c>
    </row>
    <row r="42">
      <c r="B42" s="88" t="n">
        <v>0.105</v>
      </c>
      <c r="C42" s="89" t="n">
        <v>13.03</v>
      </c>
      <c r="D42" s="89" t="n">
        <v>14.88</v>
      </c>
      <c r="E42" s="89" t="n">
        <v>16.73</v>
      </c>
      <c r="F42" s="89" t="n">
        <v>18.57</v>
      </c>
      <c r="G42" s="89" t="n">
        <v>20.42</v>
      </c>
    </row>
    <row r="43">
      <c r="B43" s="88" t="n">
        <v>0.113</v>
      </c>
      <c r="C43" s="35" t="n">
        <v>12.25</v>
      </c>
      <c r="D43" s="35" t="n">
        <v>13.97</v>
      </c>
      <c r="E43" s="90" t="n">
        <v>15.68</v>
      </c>
      <c r="F43" s="35" t="n">
        <v>17.4</v>
      </c>
      <c r="G43" s="35" t="n">
        <v>19.11</v>
      </c>
    </row>
    <row r="44">
      <c r="B44" s="88" t="n">
        <v>0.12</v>
      </c>
      <c r="C44" s="89" t="n">
        <v>11.65</v>
      </c>
      <c r="D44" s="89" t="n">
        <v>13.27</v>
      </c>
      <c r="E44" s="89" t="n">
        <v>14.88</v>
      </c>
      <c r="F44" s="89" t="n">
        <v>16.5</v>
      </c>
      <c r="G44" s="89" t="n">
        <v>18.11</v>
      </c>
    </row>
    <row r="45">
      <c r="B45" s="88" t="n">
        <v>0.13</v>
      </c>
      <c r="C45" s="35" t="n">
        <v>10.9</v>
      </c>
      <c r="D45" s="35" t="n">
        <v>12.4</v>
      </c>
      <c r="E45" s="35" t="n">
        <v>13.89</v>
      </c>
      <c r="F45" s="35" t="n">
        <v>15.38</v>
      </c>
      <c r="G45" s="35" t="n">
        <v>16.87</v>
      </c>
    </row>
    <row r="47">
      <c r="B47" s="16" t="inlineStr">
        <is>
          <t>Source: NOPAT Sheet | DP11: WACC=11.3% | DP10: Excess Cash, Non-Op Assets | Sensitivity uses simplified NOPAT/WACC formula | DCE Holdings Columbia Framework v4.3.0</t>
        </is>
      </c>
    </row>
  </sheetData>
  <mergeCells count="7">
    <mergeCell ref="B39:F39"/>
    <mergeCell ref="B47:F47"/>
    <mergeCell ref="B2:F2"/>
    <mergeCell ref="B34:F34"/>
    <mergeCell ref="B3:F3"/>
    <mergeCell ref="B5:F5"/>
    <mergeCell ref="B17:F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833C00"/>
    <outlinePr summaryBelow="1" summaryRight="1"/>
    <pageSetUpPr/>
  </sheetPr>
  <dimension ref="B2:H35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 ht="18" customHeight="1">
      <c r="B2" s="17" t="inlineStr">
        <is>
          <t>ROIC — RETURN ON INVESTED CAPITAL | Uber Technologies | FY2020–FY2025</t>
        </is>
      </c>
    </row>
    <row r="3">
      <c r="B3" s="18" t="inlineStr">
        <is>
          <t>3 secciones: ROIC Contable | ROIC Marginal (Deltas) | ROIC Marginal (Accumulated Growth CapEx)</t>
        </is>
      </c>
    </row>
    <row r="4">
      <c r="B4" s="57" t="inlineStr">
        <is>
          <t>WACC (reference)</t>
        </is>
      </c>
      <c r="C4" s="91">
        <f>'10. EPV'!C15</f>
        <v/>
      </c>
    </row>
    <row r="5" ht="15" customHeight="1">
      <c r="B5" s="5" t="inlineStr">
        <is>
          <t>SECCIÓN 1: ROIC CONTABLE</t>
        </is>
      </c>
    </row>
    <row r="6">
      <c r="B6" s="19" t="inlineStr">
        <is>
          <t>CONCEPTO</t>
        </is>
      </c>
      <c r="C6" s="19" t="inlineStr">
        <is>
          <t>FY 2020</t>
        </is>
      </c>
      <c r="D6" s="19" t="inlineStr">
        <is>
          <t>FY 2021</t>
        </is>
      </c>
      <c r="E6" s="19" t="inlineStr">
        <is>
          <t>FY 2022</t>
        </is>
      </c>
      <c r="F6" s="19" t="inlineStr">
        <is>
          <t>FY 2023</t>
        </is>
      </c>
      <c r="G6" s="19" t="inlineStr">
        <is>
          <t>FY 2024</t>
        </is>
      </c>
      <c r="H6" s="19" t="inlineStr">
        <is>
          <t>FY 2025</t>
        </is>
      </c>
    </row>
    <row r="7">
      <c r="B7" s="28" t="inlineStr">
        <is>
          <t>NOPAT Adjusted ($M)</t>
        </is>
      </c>
      <c r="C7" s="92">
        <f>'9. NOPAT'!D25</f>
        <v/>
      </c>
      <c r="D7" s="92">
        <f>'9. NOPAT'!E25</f>
        <v/>
      </c>
      <c r="E7" s="92">
        <f>'9. NOPAT'!F25</f>
        <v/>
      </c>
      <c r="F7" s="92">
        <f>'9. NOPAT'!G25</f>
        <v/>
      </c>
      <c r="G7" s="92">
        <f>'9. NOPAT'!H25</f>
        <v/>
      </c>
      <c r="H7" s="92">
        <f>'9. NOPAT'!I25</f>
        <v/>
      </c>
    </row>
    <row r="8">
      <c r="B8" s="18" t="inlineStr">
        <is>
          <t>CAPITAL INVERTIDO</t>
        </is>
      </c>
      <c r="C8" s="68" t="n"/>
      <c r="D8" s="68" t="n"/>
      <c r="E8" s="68" t="n"/>
      <c r="F8" s="68" t="n"/>
      <c r="G8" s="68" t="n"/>
      <c r="H8" s="68" t="n"/>
    </row>
    <row r="9">
      <c r="B9" s="28" t="inlineStr">
        <is>
          <t xml:space="preserve">  Operating Working Capital ($M)</t>
        </is>
      </c>
      <c r="C9" s="93" t="n">
        <v>-3635</v>
      </c>
      <c r="D9" s="93" t="n">
        <v>-4315</v>
      </c>
      <c r="E9" s="93" t="n">
        <v>-3714</v>
      </c>
      <c r="F9" s="93" t="n">
        <v>-3374</v>
      </c>
      <c r="G9" s="93" t="n">
        <v>-6033</v>
      </c>
      <c r="H9" s="93" t="n">
        <v>-5791</v>
      </c>
    </row>
    <row r="10">
      <c r="B10" s="28" t="inlineStr">
        <is>
          <t xml:space="preserve">  (+) PP&amp;E Net ($M)</t>
        </is>
      </c>
      <c r="C10" s="92">
        <f>'3. BS'!C11</f>
        <v/>
      </c>
      <c r="D10" s="92">
        <f>'3. BS'!D11</f>
        <v/>
      </c>
      <c r="E10" s="92">
        <f>'3. BS'!E11</f>
        <v/>
      </c>
      <c r="F10" s="92">
        <f>'3. BS'!F11</f>
        <v/>
      </c>
      <c r="G10" s="92">
        <f>'3. BS'!G11</f>
        <v/>
      </c>
      <c r="H10" s="92">
        <f>'3. BS'!H11</f>
        <v/>
      </c>
    </row>
    <row r="11">
      <c r="B11" s="28" t="inlineStr">
        <is>
          <t xml:space="preserve">  (+) S&amp;M Asset Unamortized ($M)</t>
        </is>
      </c>
      <c r="C11" s="92" t="n">
        <v>0</v>
      </c>
      <c r="D11" s="92">
        <f>'6. S&amp;M Cap'!C26</f>
        <v/>
      </c>
      <c r="E11" s="92">
        <f>'6. S&amp;M Cap'!D26</f>
        <v/>
      </c>
      <c r="F11" s="92">
        <f>'6. S&amp;M Cap'!E26</f>
        <v/>
      </c>
      <c r="G11" s="92">
        <f>'6. S&amp;M Cap'!F26</f>
        <v/>
      </c>
      <c r="H11" s="92">
        <f>'6. S&amp;M Cap'!G26</f>
        <v/>
      </c>
    </row>
    <row r="12">
      <c r="B12" s="28" t="inlineStr">
        <is>
          <t xml:space="preserve">  (+) R&amp;D Asset Unamortized ($M)</t>
        </is>
      </c>
      <c r="C12" s="92" t="n">
        <v>0</v>
      </c>
      <c r="D12" s="92">
        <f>'7. R&amp;D Cap'!C25</f>
        <v/>
      </c>
      <c r="E12" s="92">
        <f>'7. R&amp;D Cap'!D25</f>
        <v/>
      </c>
      <c r="F12" s="92">
        <f>'7. R&amp;D Cap'!E25</f>
        <v/>
      </c>
      <c r="G12" s="92">
        <f>'7. R&amp;D Cap'!F25</f>
        <v/>
      </c>
      <c r="H12" s="92">
        <f>'7. R&amp;D Cap'!G25</f>
        <v/>
      </c>
    </row>
    <row r="13">
      <c r="B13" s="18" t="inlineStr">
        <is>
          <t>Invested Capital ($M)</t>
        </is>
      </c>
      <c r="C13" s="74">
        <f>C9+C10+C11+C12</f>
        <v/>
      </c>
      <c r="D13" s="74">
        <f>D9+D10+D11+D12</f>
        <v/>
      </c>
      <c r="E13" s="74">
        <f>E9+E10+E11+E12</f>
        <v/>
      </c>
      <c r="F13" s="74">
        <f>F9+F10+F11+F12</f>
        <v/>
      </c>
      <c r="G13" s="74">
        <f>G9+G10+G11+G12</f>
        <v/>
      </c>
      <c r="H13" s="74">
        <f>H9+H10+H11+H12</f>
        <v/>
      </c>
    </row>
    <row r="14">
      <c r="B14" s="52" t="inlineStr">
        <is>
          <t>ROIC</t>
        </is>
      </c>
      <c r="C14" s="94">
        <f>IF(C13&lt;0,"N/M",IF(C13=0,0,C7/C13))</f>
        <v/>
      </c>
      <c r="D14" s="94">
        <f>IF(D13&lt;0,"N/M",IF(D13=0,0,D7/D13))</f>
        <v/>
      </c>
      <c r="E14" s="94">
        <f>IF(E13&lt;0,"N/M",IF(E13=0,0,E7/E13))</f>
        <v/>
      </c>
      <c r="F14" s="94">
        <f>IF(F13&lt;0,"N/M",IF(F13=0,0,F7/F13))</f>
        <v/>
      </c>
      <c r="G14" s="94">
        <f>IF(G13&lt;0,"N/M",IF(G13=0,0,G7/G13))</f>
        <v/>
      </c>
      <c r="H14" s="94">
        <f>IF(H13&lt;0,"N/M",IF(H13=0,0,H7/H13))</f>
        <v/>
      </c>
    </row>
    <row r="15">
      <c r="B15" s="28" t="inlineStr">
        <is>
          <t>Spread vs WACC (ROIC - WACC)</t>
        </is>
      </c>
      <c r="C15" s="11">
        <f>IF(ISTEXT(C14),"N/M",C14-'10. EPV'!C15)</f>
        <v/>
      </c>
      <c r="D15" s="11">
        <f>IF(ISTEXT(D14),"N/M",D14-'10. EPV'!C15)</f>
        <v/>
      </c>
      <c r="E15" s="11">
        <f>IF(ISTEXT(E14),"N/M",E14-'10. EPV'!C15)</f>
        <v/>
      </c>
      <c r="F15" s="11">
        <f>IF(ISTEXT(F14),"N/M",F14-'10. EPV'!C15)</f>
        <v/>
      </c>
      <c r="G15" s="11">
        <f>IF(ISTEXT(G14),"N/M",G14-'10. EPV'!C15)</f>
        <v/>
      </c>
      <c r="H15" s="11">
        <f>IF(ISTEXT(H14),"N/M",H14-'10. EPV'!C15)</f>
        <v/>
      </c>
    </row>
    <row r="16">
      <c r="B16" s="95" t="inlineStr">
        <is>
          <t>N/M = Not Meaningful (negative IC). FY2020 IC may show N/M due to large equity securities position.</t>
        </is>
      </c>
    </row>
    <row r="17">
      <c r="B17" s="68" t="n"/>
      <c r="C17" s="68" t="n"/>
      <c r="D17" s="68" t="n"/>
      <c r="E17" s="68" t="n"/>
      <c r="F17" s="68" t="n"/>
      <c r="G17" s="68" t="n"/>
      <c r="H17" s="68" t="n"/>
    </row>
    <row r="18" ht="15" customHeight="1">
      <c r="B18" s="5" t="inlineStr">
        <is>
          <t>SECCIÓN 2: ROIC MARGINAL — DELTAS (ΔInvested Capital)</t>
        </is>
      </c>
    </row>
    <row r="19">
      <c r="B19" s="19" t="inlineStr">
        <is>
          <t>CONCEPTO</t>
        </is>
      </c>
      <c r="C19" s="19" t="inlineStr">
        <is>
          <t>FY2020 (base)</t>
        </is>
      </c>
      <c r="D19" s="19" t="inlineStr">
        <is>
          <t>FY 2021</t>
        </is>
      </c>
      <c r="E19" s="19" t="inlineStr">
        <is>
          <t>FY 2022</t>
        </is>
      </c>
      <c r="F19" s="19" t="inlineStr">
        <is>
          <t>FY 2023</t>
        </is>
      </c>
      <c r="G19" s="19" t="inlineStr">
        <is>
          <t>FY 2024</t>
        </is>
      </c>
      <c r="H19" s="19" t="inlineStr">
        <is>
          <t>FY 2025</t>
        </is>
      </c>
    </row>
    <row r="20">
      <c r="B20" s="28" t="inlineStr">
        <is>
          <t>ΔNOPAT ($M)</t>
        </is>
      </c>
      <c r="C20" s="10" t="inlineStr">
        <is>
          <t>—</t>
        </is>
      </c>
      <c r="D20" s="10">
        <f>D7-C7</f>
        <v/>
      </c>
      <c r="E20" s="10">
        <f>E7-D7</f>
        <v/>
      </c>
      <c r="F20" s="10">
        <f>F7-E7</f>
        <v/>
      </c>
      <c r="G20" s="10">
        <f>G7-F7</f>
        <v/>
      </c>
      <c r="H20" s="10">
        <f>H7-G7</f>
        <v/>
      </c>
    </row>
    <row r="21">
      <c r="B21" s="28" t="inlineStr">
        <is>
          <t>ΔInvested Capital ($M)</t>
        </is>
      </c>
      <c r="C21" s="10" t="inlineStr">
        <is>
          <t>—</t>
        </is>
      </c>
      <c r="D21" s="10">
        <f>D13-C13</f>
        <v/>
      </c>
      <c r="E21" s="10">
        <f>E13-D13</f>
        <v/>
      </c>
      <c r="F21" s="10">
        <f>F13-E13</f>
        <v/>
      </c>
      <c r="G21" s="10">
        <f>G13-F13</f>
        <v/>
      </c>
      <c r="H21" s="10">
        <f>H13-G13</f>
        <v/>
      </c>
    </row>
    <row r="22">
      <c r="B22" s="52" t="inlineStr">
        <is>
          <t>ROIC Marginal (ΔNOPAT / ΔIC)</t>
        </is>
      </c>
      <c r="C22" s="96" t="inlineStr">
        <is>
          <t>—</t>
        </is>
      </c>
      <c r="D22" s="94">
        <f>IF(D21&lt;0,"N/M",IF(D21=0,0,D20/D21))</f>
        <v/>
      </c>
      <c r="E22" s="94">
        <f>IF(E21&lt;0,"N/M",IF(E21=0,0,E20/E21))</f>
        <v/>
      </c>
      <c r="F22" s="94">
        <f>IF(F21&lt;0,"N/M",IF(F21=0,0,F20/F21))</f>
        <v/>
      </c>
      <c r="G22" s="94">
        <f>IF(G21&lt;0,"N/M",IF(G21=0,0,G20/G21))</f>
        <v/>
      </c>
      <c r="H22" s="94">
        <f>IF(H21&lt;0,"N/M",IF(H21=0,0,H20/H21))</f>
        <v/>
      </c>
    </row>
    <row r="23">
      <c r="B23" s="68" t="n"/>
      <c r="C23" s="68" t="n"/>
      <c r="D23" s="68" t="n"/>
      <c r="E23" s="68" t="n"/>
      <c r="F23" s="68" t="n"/>
      <c r="G23" s="68" t="n"/>
      <c r="H23" s="68" t="n"/>
    </row>
    <row r="24" ht="15" customHeight="1">
      <c r="B24" s="5" t="inlineStr">
        <is>
          <t>SECCIÓN 3: ROIC MARGINAL — ACCUMULATED GROWTH CAPEX</t>
        </is>
      </c>
    </row>
    <row r="25">
      <c r="B25" s="19" t="inlineStr">
        <is>
          <t>CONCEPTO</t>
        </is>
      </c>
      <c r="C25" s="19" t="inlineStr">
        <is>
          <t>FY 2020</t>
        </is>
      </c>
      <c r="D25" s="19" t="inlineStr">
        <is>
          <t>FY 2021</t>
        </is>
      </c>
      <c r="E25" s="19" t="inlineStr">
        <is>
          <t>FY 2022</t>
        </is>
      </c>
      <c r="F25" s="19" t="inlineStr">
        <is>
          <t>FY 2023</t>
        </is>
      </c>
      <c r="G25" s="19" t="inlineStr">
        <is>
          <t>FY 2024</t>
        </is>
      </c>
      <c r="H25" s="19" t="inlineStr">
        <is>
          <t>FY 2025</t>
        </is>
      </c>
    </row>
    <row r="26">
      <c r="B26" s="28" t="inlineStr">
        <is>
          <t>S&amp;M Growth Expense ($M)</t>
        </is>
      </c>
      <c r="C26" s="93" t="n">
        <v>0</v>
      </c>
      <c r="D26" s="93" t="n">
        <v>421</v>
      </c>
      <c r="E26" s="93" t="n">
        <v>280</v>
      </c>
      <c r="F26" s="93" t="n">
        <v>0</v>
      </c>
      <c r="G26" s="93" t="n">
        <v>0</v>
      </c>
      <c r="H26" s="93" t="n">
        <v>365</v>
      </c>
    </row>
    <row r="27">
      <c r="B27" s="28" t="inlineStr">
        <is>
          <t>R&amp;D Growth Expense ($M)</t>
        </is>
      </c>
      <c r="C27" s="93" t="n">
        <v>0</v>
      </c>
      <c r="D27" s="93" t="n">
        <v>0</v>
      </c>
      <c r="E27" s="93" t="n">
        <v>665</v>
      </c>
      <c r="F27" s="93" t="n">
        <v>334</v>
      </c>
      <c r="G27" s="93" t="n">
        <v>0</v>
      </c>
      <c r="H27" s="93" t="n">
        <v>497</v>
      </c>
    </row>
    <row r="28">
      <c r="B28" s="28" t="inlineStr">
        <is>
          <t>Growth CapEx (CapEx &gt; Maintenance = D&amp;A; MAX(0, CapEx-D&amp;A)) ($M)</t>
        </is>
      </c>
      <c r="C28" s="93" t="n">
        <v>41</v>
      </c>
      <c r="D28" s="93" t="n">
        <v>0</v>
      </c>
      <c r="E28" s="93" t="n">
        <v>0</v>
      </c>
      <c r="F28" s="93" t="n">
        <v>0</v>
      </c>
      <c r="G28" s="93" t="n">
        <v>0</v>
      </c>
      <c r="H28" s="93" t="n">
        <v>0</v>
      </c>
    </row>
    <row r="29">
      <c r="B29" s="28" t="inlineStr">
        <is>
          <t>Accumulated Growth CapEx — 2yr rolling ($M)</t>
        </is>
      </c>
      <c r="C29" s="10" t="inlineStr">
        <is>
          <t>—</t>
        </is>
      </c>
      <c r="D29" s="10" t="inlineStr">
        <is>
          <t>—</t>
        </is>
      </c>
      <c r="E29" s="10">
        <f>MAX(0,E26+D26+E27+D27+E28+D28)</f>
        <v/>
      </c>
      <c r="F29" s="10">
        <f>MAX(0,F26+E26+F27+E27+F28+E28)</f>
        <v/>
      </c>
      <c r="G29" s="10">
        <f>MAX(0,G26+F26+G27+F27+G28+F28)</f>
        <v/>
      </c>
      <c r="H29" s="10">
        <f>MAX(0,H26+G26+H27+G27+H28+G28)</f>
        <v/>
      </c>
    </row>
    <row r="30">
      <c r="B30" s="28" t="inlineStr">
        <is>
          <t>ΔNOPAT 2yr ($M)</t>
        </is>
      </c>
      <c r="C30" s="10" t="inlineStr">
        <is>
          <t>—</t>
        </is>
      </c>
      <c r="D30" s="10" t="inlineStr">
        <is>
          <t>—</t>
        </is>
      </c>
      <c r="E30" s="10">
        <f>E7-C7</f>
        <v/>
      </c>
      <c r="F30" s="10">
        <f>F7-D7</f>
        <v/>
      </c>
      <c r="G30" s="10">
        <f>G7-E7</f>
        <v/>
      </c>
      <c r="H30" s="10">
        <f>H7-F7</f>
        <v/>
      </c>
    </row>
    <row r="31">
      <c r="B31" s="52" t="inlineStr">
        <is>
          <t>ROIC Marginal — Accumulated Growth 2yr</t>
        </is>
      </c>
      <c r="C31" s="96" t="inlineStr">
        <is>
          <t>—</t>
        </is>
      </c>
      <c r="D31" s="96" t="inlineStr">
        <is>
          <t>—</t>
        </is>
      </c>
      <c r="E31" s="94">
        <f>IF(E29&lt;=0,0,E30/E29)</f>
        <v/>
      </c>
      <c r="F31" s="94">
        <f>IF(F29&lt;=0,0,F30/F29)</f>
        <v/>
      </c>
      <c r="G31" s="94">
        <f>IF(G29&lt;=0,0,G30/G29)</f>
        <v/>
      </c>
      <c r="H31" s="94">
        <f>IF(H29&lt;=0,0,H30/H29)</f>
        <v/>
      </c>
    </row>
    <row r="32">
      <c r="B32" s="95" t="inlineStr">
        <is>
          <t>Interpretation: 0% = no tracked growth investment or zero growth capex</t>
        </is>
      </c>
    </row>
    <row r="33">
      <c r="B33" s="95" t="inlineStr">
        <is>
          <t>N/M = Not Meaningful (negative denominator). 0% = zero denominator or no tracked growth investment.</t>
        </is>
      </c>
    </row>
    <row r="35">
      <c r="B35" s="16" t="inlineStr">
        <is>
          <t>Source: NOPAT Sheet, S&amp;M Cap, R&amp;D Cap, BS | DCE Holdings Columbia Framework v4.3.0</t>
        </is>
      </c>
    </row>
  </sheetData>
  <mergeCells count="9">
    <mergeCell ref="B32:H32"/>
    <mergeCell ref="B18:H18"/>
    <mergeCell ref="B35:H35"/>
    <mergeCell ref="B24:H24"/>
    <mergeCell ref="B16:H16"/>
    <mergeCell ref="B2:H2"/>
    <mergeCell ref="B33:H33"/>
    <mergeCell ref="B3:H3"/>
    <mergeCell ref="B5:H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7030A0"/>
    <outlinePr summaryBelow="1" summaryRight="1"/>
    <pageSetUpPr/>
  </sheetPr>
  <dimension ref="B2:D59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22" customWidth="1" min="3" max="3"/>
    <col width="35" customWidth="1" min="4" max="4"/>
    <col width="15" customWidth="1" min="5" max="5"/>
  </cols>
  <sheetData>
    <row r="2" ht="18" customHeight="1">
      <c r="B2" s="17" t="inlineStr">
        <is>
          <t>IMPLIED IRR — ENTERPRISE RETURN FRAMEWORK | Uber Technologies | v4.3.0</t>
        </is>
      </c>
    </row>
    <row r="3">
      <c r="B3" s="18" t="inlineStr">
        <is>
          <t>Enterprise-first: Distribuciones + Crecimiento + Múltiplo → lever to Equity (Modigliani-Miller)</t>
        </is>
      </c>
    </row>
    <row r="5" ht="15" customHeight="1">
      <c r="B5" s="5" t="inlineStr">
        <is>
          <t>SECCIÓN 1: ENTERPRISE VALUE</t>
        </is>
      </c>
    </row>
    <row r="6">
      <c r="B6" s="28" t="inlineStr">
        <is>
          <t>Market Cap ($M)</t>
        </is>
      </c>
      <c r="C6" s="92">
        <f>'1. Overview'!C18</f>
        <v/>
      </c>
    </row>
    <row r="7">
      <c r="B7" s="28" t="inlineStr">
        <is>
          <t>(+) Total Debt - LT ($M)</t>
        </is>
      </c>
      <c r="C7" s="92">
        <f>'3. BS'!H24</f>
        <v/>
      </c>
    </row>
    <row r="8">
      <c r="B8" s="28" t="inlineStr">
        <is>
          <t>(+) Lease Liabilities Total ($M)</t>
        </is>
      </c>
      <c r="C8" s="93">
        <f>'3. BS'!H22+'3. BS'!H25</f>
        <v/>
      </c>
      <c r="D8" s="60" t="inlineStr">
        <is>
          <t>Total lease liabilities FY2025 per BS</t>
        </is>
      </c>
    </row>
    <row r="9">
      <c r="B9" s="28" t="inlineStr">
        <is>
          <t>(−) Cash + STI ($M)</t>
        </is>
      </c>
      <c r="C9" s="92">
        <f>-(('3. BS'!H8+'3. BS'!H9))</f>
        <v/>
      </c>
    </row>
    <row r="10">
      <c r="B10" s="18" t="inlineStr">
        <is>
          <t>Enterprise Value ($M)</t>
        </is>
      </c>
      <c r="C10" s="74">
        <f>C6+C7+C8+C9</f>
        <v/>
      </c>
    </row>
    <row r="12" ht="15" customHeight="1">
      <c r="B12" s="5" t="inlineStr">
        <is>
          <t>SECCIÓN 2: NOPAT AJUSTADO (Normalizado)</t>
        </is>
      </c>
    </row>
    <row r="13">
      <c r="B13" s="18" t="inlineStr">
        <is>
          <t>NOPAT Ajustado Normalizado ($M)</t>
        </is>
      </c>
      <c r="C13" s="97">
        <f>'9. NOPAT'!J25</f>
        <v/>
      </c>
      <c r="D13" s="60" t="inlineStr">
        <is>
          <t>Link to NOPAT Normalizado column (J)</t>
        </is>
      </c>
    </row>
    <row r="14">
      <c r="B14" s="28" t="inlineStr">
        <is>
          <t>NOPAT Multiple (EV / NOPAT)</t>
        </is>
      </c>
      <c r="C14" s="98">
        <f>C10/C13</f>
        <v/>
      </c>
      <c r="D14" s="60" t="inlineStr">
        <is>
          <t>EV / NOPAT Normalizado — high multiple reflects AV optionality</t>
        </is>
      </c>
    </row>
    <row r="16" ht="15" customHeight="1">
      <c r="B16" s="5" t="inlineStr">
        <is>
          <t>SECCIÓN 3: DISTRIBUCIONES</t>
        </is>
      </c>
    </row>
    <row r="17">
      <c r="B17" s="28" t="inlineStr">
        <is>
          <t>Dividendos Pagados ($M)</t>
        </is>
      </c>
      <c r="C17" s="93" t="n">
        <v>0</v>
      </c>
      <c r="D17" s="60" t="inlineStr">
        <is>
          <t>UBER pays no dividend (FY2025)</t>
        </is>
      </c>
    </row>
    <row r="18">
      <c r="B18" s="28" t="inlineStr">
        <is>
          <t>(+) Buybacks Sostenibles — DP16 ($M)</t>
        </is>
      </c>
      <c r="C18" s="93" t="n">
        <v>4000</v>
      </c>
      <c r="D18" s="60" t="inlineStr">
        <is>
          <t>DP16: sustainable buyback $4,000M/yr (vs FY25 reported $6,523M)</t>
        </is>
      </c>
    </row>
    <row r="19">
      <c r="B19" s="28" t="inlineStr">
        <is>
          <t>(+) Gasto por Intereses (pre-tax) ($M)</t>
        </is>
      </c>
      <c r="C19" s="93" t="n">
        <v>440</v>
      </c>
      <c r="D19" s="60" t="inlineStr">
        <is>
          <t>Interest expense FY2025 absolute ($440M)</t>
        </is>
      </c>
    </row>
    <row r="20">
      <c r="B20" s="18" t="inlineStr">
        <is>
          <t>Total Distribuciones ($M)</t>
        </is>
      </c>
      <c r="C20" s="74">
        <f>C17+C18+C19</f>
        <v/>
      </c>
    </row>
    <row r="21">
      <c r="B21" s="18" t="inlineStr">
        <is>
          <t>Distribution Yield (Dist / EV)</t>
        </is>
      </c>
      <c r="C21" s="99">
        <f>C20/C10</f>
        <v/>
      </c>
    </row>
    <row r="22">
      <c r="B22" s="28" t="inlineStr">
        <is>
          <t>Distribution Rate (Dist / NOPAT)</t>
        </is>
      </c>
      <c r="C22" s="11">
        <f>C20/C13</f>
        <v/>
      </c>
      <c r="D22" s="60" t="inlineStr">
        <is>
          <t>Informational — can exceed 100% if leveraged buybacks</t>
        </is>
      </c>
    </row>
    <row r="24" ht="15" customHeight="1">
      <c r="B24" s="5" t="inlineStr">
        <is>
          <t>SECCIÓN 4: REINVERSIÓN (bottom-up)</t>
        </is>
      </c>
    </row>
    <row r="25">
      <c r="B25" s="28" t="inlineStr">
        <is>
          <t>CapEx Total FY2025 ($M)</t>
        </is>
      </c>
      <c r="C25" s="93" t="n">
        <v>336</v>
      </c>
      <c r="D25" s="60" t="inlineStr">
        <is>
          <t>FY2025 CapEx absolute (from CF)</t>
        </is>
      </c>
    </row>
    <row r="26">
      <c r="B26" s="28" t="inlineStr">
        <is>
          <t>(−) Maintenance CapEx (proxy = D&amp;A) ($M)</t>
        </is>
      </c>
      <c r="C26" s="93" t="n">
        <v>-719</v>
      </c>
      <c r="D26" s="60" t="inlineStr">
        <is>
          <t>D&amp;A FY2025 = $719M (CapEx &lt; D&amp;A → Growth CapEx = 0)</t>
        </is>
      </c>
    </row>
    <row r="27">
      <c r="B27" s="28" t="inlineStr">
        <is>
          <t>Growth CapEx = MAX(0, CapEx - Maintenance) ($M)</t>
        </is>
      </c>
      <c r="C27" s="10">
        <f>MAX(0,C25+C26)</f>
        <v/>
      </c>
    </row>
    <row r="28">
      <c r="B28" s="28" t="inlineStr">
        <is>
          <t>(+) ΔWorking Capital (est.) ($M)</t>
        </is>
      </c>
      <c r="C28" s="93" t="n">
        <v>0</v>
      </c>
      <c r="D28" s="60" t="inlineStr">
        <is>
          <t>Platform model — WC changes minimal; conservative at 0</t>
        </is>
      </c>
    </row>
    <row r="29">
      <c r="B29" s="28" t="inlineStr">
        <is>
          <t>(+) S&amp;M Growth Expense ($M)</t>
        </is>
      </c>
      <c r="C29" s="93" t="n">
        <v>365</v>
      </c>
      <c r="D29" s="60" t="inlineStr">
        <is>
          <t>S&amp;M FY2025 ($4,898M) − Econ Amort S&amp;M (~$4,533M) ≈ $365M</t>
        </is>
      </c>
    </row>
    <row r="30">
      <c r="B30" s="28" t="inlineStr">
        <is>
          <t>(+) R&amp;D Growth Expense ($M)</t>
        </is>
      </c>
      <c r="C30" s="93" t="n">
        <v>497</v>
      </c>
      <c r="D30" s="60" t="inlineStr">
        <is>
          <t>R&amp;D FY2025 ($3,402M) − Econ Amort R&amp;D (~$2,905M) ≈ $497M</t>
        </is>
      </c>
    </row>
    <row r="31">
      <c r="B31" s="18" t="inlineStr">
        <is>
          <t>Total Reinversión ($M)</t>
        </is>
      </c>
      <c r="C31" s="74">
        <f>C27+C28+C29+C30</f>
        <v/>
      </c>
    </row>
    <row r="32">
      <c r="B32" s="18" t="inlineStr">
        <is>
          <t>Reinvestment Rate (Reinv / NOPAT)</t>
        </is>
      </c>
      <c r="C32" s="99">
        <f>C31/C13</f>
        <v/>
      </c>
    </row>
    <row r="34" ht="15" customHeight="1">
      <c r="B34" s="5" t="inlineStr">
        <is>
          <t>SECCIÓN 5: CRECIMIENTO</t>
        </is>
      </c>
    </row>
    <row r="35">
      <c r="B35" s="28" t="inlineStr">
        <is>
          <t>ROIC Seleccionado (AVG FY22-25 where IC&gt;0)</t>
        </is>
      </c>
      <c r="C35" s="91">
        <f>IFERROR((IFERROR('11. ROIC'!F14*1,0)+IFERROR('11. ROIC'!G14*1,0)+IFERROR('11. ROIC'!H14*1,0))/(IF(ISNUMBER('11. ROIC'!F14*1),1,0)+IF(ISNUMBER('11. ROIC'!G14*1),1,0)+IF(ISNUMBER('11. ROIC'!H14*1),1,0)),0)</f>
        <v/>
      </c>
      <c r="D35" s="60" t="inlineStr">
        <is>
          <t>AVG(FY2023, FY2024, FY2025) — FY2022 N/M (negative IC)</t>
        </is>
      </c>
    </row>
    <row r="36">
      <c r="B36" s="28" t="inlineStr">
        <is>
          <t>Crecimiento por Reinversión (ReinvRate × ROIC)</t>
        </is>
      </c>
      <c r="C36" s="11">
        <f>C32*C35</f>
        <v/>
      </c>
    </row>
    <row r="37">
      <c r="B37" s="28" t="inlineStr">
        <is>
          <t>Crecimiento Orgánico — DP17 (%)</t>
        </is>
      </c>
      <c r="C37" s="100" t="n">
        <v>0.02</v>
      </c>
      <c r="D37" s="60" t="inlineStr">
        <is>
          <t>DP17: 2% — conservative for mature US + emerging frontiers</t>
        </is>
      </c>
    </row>
    <row r="38">
      <c r="B38" s="18" t="inlineStr">
        <is>
          <t>Total Crecimiento</t>
        </is>
      </c>
      <c r="C38" s="99">
        <f>C36+C37</f>
        <v/>
      </c>
    </row>
    <row r="40" ht="15" customHeight="1">
      <c r="B40" s="5" t="inlineStr">
        <is>
          <t>SECCIÓN 6: COMPORTAMIENTO DEL MÚLTIPLO</t>
        </is>
      </c>
    </row>
    <row r="41">
      <c r="B41" s="28" t="inlineStr">
        <is>
          <t>NOPAT Multiple — Actual (EV / NOPAT)</t>
        </is>
      </c>
      <c r="C41" s="98">
        <f>C14</f>
        <v/>
      </c>
    </row>
    <row r="42">
      <c r="B42" s="28" t="inlineStr">
        <is>
          <t>Investment Horizon (años)</t>
        </is>
      </c>
      <c r="C42" s="101" t="n">
        <v>5</v>
      </c>
    </row>
    <row r="43">
      <c r="B43" s="28" t="inlineStr">
        <is>
          <t>Assumed Exit Multiple — DP15 (reversión a la media)</t>
        </is>
      </c>
      <c r="C43" s="102" t="n">
        <v>18</v>
      </c>
      <c r="D43" s="60" t="inlineStr">
        <is>
          <t>DP15: 18x EV/NOPAT — mean reversion target</t>
        </is>
      </c>
    </row>
    <row r="44">
      <c r="B44" s="28" t="inlineStr">
        <is>
          <t>Multiple Expansion / Contraction</t>
        </is>
      </c>
      <c r="C44" s="11">
        <f>(C43-C41)/C41</f>
        <v/>
      </c>
    </row>
    <row r="45">
      <c r="B45" s="28" t="inlineStr">
        <is>
          <t>Impacto Anualizado del Múltiplo</t>
        </is>
      </c>
      <c r="C45" s="11">
        <f>(C43/C41)^(1/C42)-1</f>
        <v/>
      </c>
      <c r="D45" s="60" t="inlineStr">
        <is>
          <t>(Exit/Current)^(1/5) − 1</t>
        </is>
      </c>
    </row>
    <row r="47" ht="15" customHeight="1">
      <c r="B47" s="5" t="inlineStr">
        <is>
          <t>SECCIÓN 7: RETORNOS Y MARGEN DE SEGURIDAD</t>
        </is>
      </c>
    </row>
    <row r="48">
      <c r="B48" s="28" t="inlineStr">
        <is>
          <t>Retorno Total Enterprise (Dist Yield + Crecimiento + Múltiplo)</t>
        </is>
      </c>
      <c r="C48" s="11">
        <f>C21+C38+C45</f>
        <v/>
      </c>
    </row>
    <row r="49">
      <c r="B49" s="28" t="inlineStr">
        <is>
          <t>D/E Market (Debt+Leases / Market Cap)</t>
        </is>
      </c>
      <c r="C49" s="11">
        <f>(C7+C8)/C6</f>
        <v/>
      </c>
    </row>
    <row r="50">
      <c r="B50" s="28" t="inlineStr">
        <is>
          <t>Net Borrowing Cost = Interest×(1−t) / (Debt+Leases)</t>
        </is>
      </c>
      <c r="C50" s="11">
        <f>(C19*(1-0.21))/(C7+C8)</f>
        <v/>
      </c>
    </row>
    <row r="51">
      <c r="B51" s="52" t="inlineStr">
        <is>
          <t>Retorno Total al Accionista (Equity) — Modigliani-Miller</t>
        </is>
      </c>
      <c r="C51" s="94">
        <f>C48+C49*(C48-C50)</f>
        <v/>
      </c>
    </row>
    <row r="52">
      <c r="B52" s="28" t="inlineStr">
        <is>
          <t>Hurdle Rate (DP — 12%)</t>
        </is>
      </c>
      <c r="C52" s="100" t="n">
        <v>0.12</v>
      </c>
    </row>
    <row r="53">
      <c r="B53" s="52" t="inlineStr">
        <is>
          <t>Margen de Seguridad (MoS = Ret.Equity − Hurdle)</t>
        </is>
      </c>
      <c r="C53" s="94">
        <f>C51-C52</f>
        <v/>
      </c>
    </row>
    <row r="55">
      <c r="B55" s="103" t="inlineStr">
        <is>
          <t>EXCESO DE CAJA:</t>
        </is>
      </c>
    </row>
    <row r="56">
      <c r="B56" s="28" t="inlineStr">
        <is>
          <t>NOPAT − Reinversión − Distribuciones ($M)</t>
        </is>
      </c>
      <c r="C56" s="10">
        <f>C13-C31-C20</f>
        <v/>
      </c>
    </row>
    <row r="57">
      <c r="B57" s="28" t="inlineStr">
        <is>
          <t>Exceso Caja % NOPAT</t>
        </is>
      </c>
      <c r="C57" s="11">
        <f>C56/C13</f>
        <v/>
      </c>
    </row>
    <row r="59">
      <c r="B59" s="16" t="inlineStr">
        <is>
          <t>Source: Overview (EV), NOPAT (Normalizado), CF (CapEx, Buybacks), IS (Interest) | DCE Holdings Columbia Framework v4.3.0 | DP15=18x, DP16=$4,000M, DP17=2%</t>
        </is>
      </c>
    </row>
  </sheetData>
  <mergeCells count="10">
    <mergeCell ref="B3:D3"/>
    <mergeCell ref="B5:D5"/>
    <mergeCell ref="B59:D59"/>
    <mergeCell ref="B47:D47"/>
    <mergeCell ref="B40:D40"/>
    <mergeCell ref="B2:D2"/>
    <mergeCell ref="B12:D12"/>
    <mergeCell ref="B24:D24"/>
    <mergeCell ref="B16:D16"/>
    <mergeCell ref="B34:D3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1B2642"/>
    <outlinePr summaryBelow="1" summaryRight="1"/>
    <pageSetUpPr/>
  </sheetPr>
  <dimension ref="B2:E5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15" customWidth="1" min="4" max="4"/>
    <col width="50" customWidth="1" min="5" max="5"/>
  </cols>
  <sheetData>
    <row r="2" ht="18" customHeight="1">
      <c r="B2" s="17" t="inlineStr">
        <is>
          <t>RESUMEN DE VALORACIÓN — Uber Technologies | DCE Holdings</t>
        </is>
      </c>
    </row>
    <row r="3">
      <c r="B3" s="18" t="inlineStr">
        <is>
          <t>Fecha de Valoración: 29-May-2026 | Precio: $70.40 | Framework: Columbia v4.3.0</t>
        </is>
      </c>
    </row>
    <row r="5" ht="15" customHeight="1">
      <c r="B5" s="5" t="inlineStr">
        <is>
          <t>ESCALERA COLUMBIA</t>
        </is>
      </c>
    </row>
    <row r="6">
      <c r="B6" s="28" t="inlineStr">
        <is>
          <t>Reproduction Value / Acción ($)</t>
        </is>
      </c>
      <c r="C6" s="104">
        <f>'8. RV'!E57</f>
        <v/>
      </c>
    </row>
    <row r="7">
      <c r="B7" s="28" t="inlineStr">
        <is>
          <t>EPV / Acción ($)</t>
        </is>
      </c>
      <c r="C7" s="104">
        <f>'10. EPV'!C32</f>
        <v/>
      </c>
    </row>
    <row r="8">
      <c r="B8" s="28" t="inlineStr">
        <is>
          <t>Precio Actual ($)</t>
        </is>
      </c>
      <c r="C8" s="104">
        <f>'1. Overview'!C16</f>
        <v/>
      </c>
    </row>
    <row r="9">
      <c r="B9" s="28" t="inlineStr">
        <is>
          <t>EPV / RV Ratio</t>
        </is>
      </c>
      <c r="C9" s="98">
        <f>C7/C6</f>
        <v/>
      </c>
      <c r="D9" s="60" t="inlineStr">
        <is>
          <t>&gt;1 = moat</t>
        </is>
      </c>
    </row>
    <row r="10">
      <c r="B10" s="28" t="inlineStr">
        <is>
          <t>Precio / EPV Ratio</t>
        </is>
      </c>
      <c r="C10" s="98">
        <f>C8/C7</f>
        <v/>
      </c>
      <c r="D10" s="60" t="inlineStr">
        <is>
          <t>&gt;1 = premium to EPV</t>
        </is>
      </c>
    </row>
    <row r="11">
      <c r="B11" s="28" t="inlineStr">
        <is>
          <t>Implied IRR (Equity)</t>
        </is>
      </c>
      <c r="C11" s="91">
        <f>'12. Implied IRR'!C51</f>
        <v/>
      </c>
    </row>
    <row r="12">
      <c r="B12" s="28" t="inlineStr">
        <is>
          <t>Hurdle Rate</t>
        </is>
      </c>
      <c r="C12" s="100" t="n">
        <v>0.12</v>
      </c>
    </row>
    <row r="14" ht="15" customHeight="1">
      <c r="B14" s="5" t="inlineStr">
        <is>
          <t>MARGEN DE SEGURIDAD</t>
        </is>
      </c>
    </row>
    <row r="15">
      <c r="B15" s="28" t="inlineStr">
        <is>
          <t>MoS EPV = (EPV − Price) / EPV</t>
        </is>
      </c>
      <c r="C15" s="11">
        <f>(C7-C8)/C7</f>
        <v/>
      </c>
    </row>
    <row r="16">
      <c r="B16" s="28" t="inlineStr">
        <is>
          <t>MoS Implied IRR = Retorno Equity − Hurdle</t>
        </is>
      </c>
      <c r="C16" s="91">
        <f>'12. Implied IRR'!C53</f>
        <v/>
      </c>
    </row>
    <row r="18" ht="15" customHeight="1">
      <c r="B18" s="5" t="inlineStr">
        <is>
          <t>WACC / ROIC / SPREAD</t>
        </is>
      </c>
    </row>
    <row r="19">
      <c r="B19" s="28" t="inlineStr">
        <is>
          <t>WACC</t>
        </is>
      </c>
      <c r="C19" s="91">
        <f>'10. EPV'!C15</f>
        <v/>
      </c>
    </row>
    <row r="20">
      <c r="B20" s="28" t="inlineStr">
        <is>
          <t>ROIC (FY2025)</t>
        </is>
      </c>
      <c r="C20" s="91">
        <f>IF(ISTEXT('11. ROIC'!H14),"N/M",'11. ROIC'!H14)</f>
        <v/>
      </c>
    </row>
    <row r="21">
      <c r="B21" s="28" t="inlineStr">
        <is>
          <t>Spread (ROIC − WACC)</t>
        </is>
      </c>
      <c r="C21" s="91">
        <f>IF(ISTEXT('11. ROIC'!H14),"N/M",'11. ROIC'!H14-'10. EPV'!C15)</f>
        <v/>
      </c>
    </row>
    <row r="22">
      <c r="B22" s="28" t="inlineStr">
        <is>
          <t>FCF Margin (FY2025)</t>
        </is>
      </c>
      <c r="C22" s="91">
        <f>'4. CF'!H49</f>
        <v/>
      </c>
      <c r="D22" s="60" t="inlineStr">
        <is>
          <t>FCF/Revenue FY2025</t>
        </is>
      </c>
    </row>
    <row r="23">
      <c r="B23" s="28" t="inlineStr">
        <is>
          <t>Operating Margin (FY2025)</t>
        </is>
      </c>
      <c r="C23" s="91">
        <f>'2. IS'!H43</f>
        <v/>
      </c>
    </row>
    <row r="25" ht="15" customHeight="1">
      <c r="B25" s="5" t="inlineStr">
        <is>
          <t>NOTAS ANALÍTICAS</t>
        </is>
      </c>
    </row>
    <row r="26" ht="30" customHeight="1">
      <c r="B26" s="105" t="inlineStr">
        <is>
          <t>1. Columbia Ladder: EPV &gt;&gt; RV indica moat potente — Uber ha construido defensas via red de conductores/pasajeros y superapps. Precio $70.40 cotiza con prima significativa sobre EPV normalizado, reflejando optionalidad de Autonomous Vehicle (Waymo partnership) no capturada en NOPAT estático.</t>
        </is>
      </c>
    </row>
    <row r="27" ht="30" customHeight="1">
      <c r="B27" s="105" t="inlineStr">
        <is>
          <t>2. ROIC Quality: ROIC FY2025 ~24% vs WACC 11.3% → spread positivo de ~13pp, sostenido por efecto escala en rides + apalancamiento en delivery. Tendencia 2022-2025 confirma mejora estructural en modelo de negocio.</t>
        </is>
      </c>
    </row>
    <row r="28" ht="30" customHeight="1">
      <c r="B28" s="105" t="inlineStr">
        <is>
          <t>3. Implied IRR: Retorno implícito equity ~ -5% a precios actuales dada contracción de múltiplo 37x → 18x en 5 años. MoS negativo (~-17pp vs hurdle 12%). Mercado paga prima por opcionalidad AV — riesgo para inversores sin conviction en timeline AV.</t>
        </is>
      </c>
    </row>
    <row r="29" ht="30" customHeight="1">
      <c r="B29" s="105" t="inlineStr">
        <is>
          <t>4. Riesgo principal: re-regulación laboral (drivers como empleados → incremento estructural CoR), intensificación competencia delivery (DoorDash, Lyft), retraso AV en mercados clave.</t>
        </is>
      </c>
    </row>
    <row r="30" ht="30" customHeight="1">
      <c r="B30" s="105" t="inlineStr">
        <is>
          <t>5. Normalización: Margen Op Normalizado 8.0% es decisión analítica — mediana histórica 4.7% es artificialmente baja por pérdidas 2020-22; 10.7% FY2025 puede ser techo cíclico. 8% refleja earning power sostenible mid-cycle.</t>
        </is>
      </c>
    </row>
    <row r="32" ht="15" customHeight="1">
      <c r="B32" s="5" t="inlineStr">
        <is>
          <t>RESUMEN DE DECISIONES — 17 DECISION POINTS (CIO Aprobados 29-May-2026)</t>
        </is>
      </c>
    </row>
    <row r="33">
      <c r="B33" s="19" t="inlineStr">
        <is>
          <t>#</t>
        </is>
      </c>
      <c r="C33" s="19" t="inlineStr">
        <is>
          <t>Decision</t>
        </is>
      </c>
      <c r="D33" s="19" t="inlineStr">
        <is>
          <t>Value Chosen</t>
        </is>
      </c>
      <c r="E33" s="19" t="inlineStr">
        <is>
          <t>Rationale</t>
        </is>
      </c>
    </row>
    <row r="34" ht="25" customHeight="1">
      <c r="B34" s="106" t="inlineStr">
        <is>
          <t>1</t>
        </is>
      </c>
      <c r="C34" s="106" t="inlineStr">
        <is>
          <t>S&amp;M Proxy</t>
        </is>
      </c>
      <c r="D34" s="106" t="inlineStr">
        <is>
          <t>Sales and Marketing (10-K line)</t>
        </is>
      </c>
      <c r="E34" s="106" t="inlineStr">
        <is>
          <t>Direct line item per 10-K — proxy for customer acquisition investment</t>
        </is>
      </c>
    </row>
    <row r="35" ht="25" customHeight="1">
      <c r="B35" s="107" t="inlineStr">
        <is>
          <t>2</t>
        </is>
      </c>
      <c r="C35" s="107" t="inlineStr">
        <is>
          <t>R&amp;D Capitalization</t>
        </is>
      </c>
      <c r="D35" s="107" t="inlineStr">
        <is>
          <t>Sí — capitalizar</t>
        </is>
      </c>
      <c r="E35" s="107" t="inlineStr">
        <is>
          <t>UBER invests heavily in tech; R&amp;D builds durable platform IP</t>
        </is>
      </c>
    </row>
    <row r="36" ht="25" customHeight="1">
      <c r="B36" s="106" t="inlineStr">
        <is>
          <t>3</t>
        </is>
      </c>
      <c r="C36" s="106" t="inlineStr">
        <is>
          <t>S&amp;M Useful Life</t>
        </is>
      </c>
      <c r="D36" s="106" t="inlineStr">
        <is>
          <t>4 años</t>
        </is>
      </c>
      <c r="E36" s="106" t="inlineStr">
        <is>
          <t>Rideshare customer retention ~3-5 yrs; 4yr conservative mid</t>
        </is>
      </c>
    </row>
    <row r="37" ht="25" customHeight="1">
      <c r="B37" s="107" t="inlineStr">
        <is>
          <t>4</t>
        </is>
      </c>
      <c r="C37" s="107" t="inlineStr">
        <is>
          <t>R&amp;D Useful Life</t>
        </is>
      </c>
      <c r="D37" s="107" t="inlineStr">
        <is>
          <t>5 años</t>
        </is>
      </c>
      <c r="E37" s="107" t="inlineStr">
        <is>
          <t>Platform tech cycle 4-7 yrs; 5yr standard per Greenwald framework</t>
        </is>
      </c>
    </row>
    <row r="38" ht="25" customHeight="1">
      <c r="B38" s="106" t="inlineStr">
        <is>
          <t>4b</t>
        </is>
      </c>
      <c r="C38" s="106" t="inlineStr">
        <is>
          <t>PIM Rates</t>
        </is>
      </c>
      <c r="D38" s="106" t="inlineStr">
        <is>
          <t>N/A (intangibles agregados)</t>
        </is>
      </c>
      <c r="E38" s="106" t="inlineStr">
        <is>
          <t>10-K does not provide disaggregated intangible amortization by type</t>
        </is>
      </c>
    </row>
    <row r="39" ht="25" customHeight="1">
      <c r="B39" s="107" t="inlineStr">
        <is>
          <t>5</t>
        </is>
      </c>
      <c r="C39" s="107" t="inlineStr">
        <is>
          <t>SBC Treatment</t>
        </is>
      </c>
      <c r="D39" s="107" t="inlineStr">
        <is>
          <t>Ya en OpEx — no add-back</t>
        </is>
      </c>
      <c r="E39" s="107" t="inlineStr">
        <is>
          <t>UBER SBC included in each operating expense line per 10-K</t>
        </is>
      </c>
    </row>
    <row r="40" ht="25" customHeight="1">
      <c r="B40" s="106" t="inlineStr">
        <is>
          <t>6</t>
        </is>
      </c>
      <c r="C40" s="106" t="inlineStr">
        <is>
          <t>Normalization Window</t>
        </is>
      </c>
      <c r="D40" s="106" t="inlineStr">
        <is>
          <t>FY2022-LTM (4 años)</t>
        </is>
      </c>
      <c r="E40" s="106" t="inlineStr">
        <is>
          <t>Pre-2022 losses structural; 2022 COVID recovery; stable from 2022</t>
        </is>
      </c>
    </row>
    <row r="41" ht="25" customHeight="1">
      <c r="B41" s="107" t="inlineStr">
        <is>
          <t>7</t>
        </is>
      </c>
      <c r="C41" s="107" t="inlineStr">
        <is>
          <t>Items to Normalize</t>
        </is>
      </c>
      <c r="D41" s="107" t="inlineStr">
        <is>
          <t>Legal/settlements; Equity gains/losses; Restructuring</t>
        </is>
      </c>
      <c r="E41" s="107" t="inlineStr">
        <is>
          <t>Didi/Aurora/Grab equity gains are non-recurring; settlements variable</t>
        </is>
      </c>
    </row>
    <row r="42" ht="25" customHeight="1">
      <c r="B42" s="106" t="inlineStr">
        <is>
          <t>8</t>
        </is>
      </c>
      <c r="C42" s="106" t="inlineStr">
        <is>
          <t>Tax Rate</t>
        </is>
      </c>
      <c r="D42" s="106" t="inlineStr">
        <is>
          <t>21% statutory</t>
        </is>
      </c>
      <c r="E42" s="106" t="inlineStr">
        <is>
          <t>US statutory rate; effective rate erratic due to equity stakes → use statutory</t>
        </is>
      </c>
    </row>
    <row r="43" ht="25" customHeight="1">
      <c r="B43" s="107" t="inlineStr">
        <is>
          <t>9</t>
        </is>
      </c>
      <c r="C43" s="107" t="inlineStr">
        <is>
          <t>Lease Treatment</t>
        </is>
      </c>
      <c r="D43" s="107" t="inlineStr">
        <is>
          <t>ASC 842 ya capitalizado</t>
        </is>
      </c>
      <c r="E43" s="107" t="inlineStr">
        <is>
          <t>Finance + operating leases capitalized in BS per GAAP ASC 842</t>
        </is>
      </c>
    </row>
    <row r="44" ht="25" customHeight="1">
      <c r="B44" s="106" t="inlineStr">
        <is>
          <t>10</t>
        </is>
      </c>
      <c r="C44" s="106" t="inlineStr">
        <is>
          <t>Non-Operating Assets</t>
        </is>
      </c>
      <c r="D44" s="106" t="inlineStr">
        <is>
          <t>Cash&gt;2% Rev + Equity stakes + STI</t>
        </is>
      </c>
      <c r="E44" s="106" t="inlineStr">
        <is>
          <t>Operating buffer ≈ 2% revenue; LT investments non-operating</t>
        </is>
      </c>
    </row>
    <row r="45" ht="25" customHeight="1">
      <c r="B45" s="107" t="inlineStr">
        <is>
          <t>11</t>
        </is>
      </c>
      <c r="C45" s="107" t="inlineStr">
        <is>
          <t>WACC</t>
        </is>
      </c>
      <c r="D45" s="107" t="inlineStr">
        <is>
          <t>11.3% (Rf 4.3%, β1.30, ERP 5.5%, Kd 5.0%)</t>
        </is>
      </c>
      <c r="E45" s="107" t="inlineStr">
        <is>
          <t>CAPM + DCF WACC; β from 2yr weekly regression vs S&amp;P; Kd from 10-K</t>
        </is>
      </c>
    </row>
    <row r="46" ht="25" customHeight="1">
      <c r="B46" s="106" t="inlineStr">
        <is>
          <t>12</t>
        </is>
      </c>
      <c r="C46" s="106" t="inlineStr">
        <is>
          <t>Goodwill in RV</t>
        </is>
      </c>
      <c r="D46" s="106" t="inlineStr">
        <is>
          <t>0%</t>
        </is>
      </c>
      <c r="E46" s="106" t="inlineStr">
        <is>
          <t>Standard Columbia — goodwill reconstructed component by component; no double count</t>
        </is>
      </c>
    </row>
    <row r="47" ht="25" customHeight="1">
      <c r="B47" s="107" t="inlineStr">
        <is>
          <t>13</t>
        </is>
      </c>
      <c r="C47" s="107" t="inlineStr">
        <is>
          <t>Intangibles in RV</t>
        </is>
      </c>
      <c r="D47" s="107" t="inlineStr">
        <is>
          <t>CAC×MAUs + Marketing 7y×60% + R&amp;D cap + Licencias</t>
        </is>
      </c>
      <c r="E47" s="107" t="inlineStr">
        <is>
          <t>Reconstruction approach per spec §3.8; each component justified</t>
        </is>
      </c>
    </row>
    <row r="48" ht="25" customHeight="1">
      <c r="B48" s="106" t="inlineStr">
        <is>
          <t>14</t>
        </is>
      </c>
      <c r="C48" s="106" t="inlineStr">
        <is>
          <t>DTA in RV</t>
        </is>
      </c>
      <c r="D48" s="106" t="inlineStr">
        <is>
          <t>70%</t>
        </is>
      </c>
      <c r="E48" s="106" t="inlineStr">
        <is>
          <t>Consistent profitability from FY2023 → high realization probability</t>
        </is>
      </c>
    </row>
    <row r="49" ht="25" customHeight="1">
      <c r="B49" s="107" t="inlineStr">
        <is>
          <t>15</t>
        </is>
      </c>
      <c r="C49" s="107" t="inlineStr">
        <is>
          <t>Exit Multiple</t>
        </is>
      </c>
      <c r="D49" s="107" t="inlineStr">
        <is>
          <t>18x EV/NOPAT</t>
        </is>
      </c>
      <c r="E49" s="107" t="inlineStr">
        <is>
          <t>Mean reversion from ~37x; 18x = reasonable mature platform multiple</t>
        </is>
      </c>
    </row>
    <row r="50" ht="25" customHeight="1">
      <c r="B50" s="106" t="inlineStr">
        <is>
          <t>16</t>
        </is>
      </c>
      <c r="C50" s="106" t="inlineStr">
        <is>
          <t>Buybacks Sostenibles</t>
        </is>
      </c>
      <c r="D50" s="106" t="inlineStr">
        <is>
          <t>$4,000M/año</t>
        </is>
      </c>
      <c r="E50" s="106" t="inlineStr">
        <is>
          <t>FY25 $6,523M extraordinary; $4B sustainable based on FCF capacity</t>
        </is>
      </c>
    </row>
    <row r="51" ht="25" customHeight="1">
      <c r="B51" s="107" t="inlineStr">
        <is>
          <t>17</t>
        </is>
      </c>
      <c r="C51" s="107" t="inlineStr">
        <is>
          <t>Crecimiento Orgánico</t>
        </is>
      </c>
      <c r="D51" s="107" t="inlineStr">
        <is>
          <t>2%</t>
        </is>
      </c>
      <c r="E51" s="107" t="inlineStr">
        <is>
          <t>Multi-segment platform; mature US + emerging frontiers; conservative 2% pricing power</t>
        </is>
      </c>
    </row>
    <row r="53">
      <c r="B53" s="16" t="inlineStr">
        <is>
          <t>Source: CIO Decision Points (29-May-2026) | SEC EDGAR 10-K FY2025 | DCE Holdings Columbia Framework v4.3.0</t>
        </is>
      </c>
    </row>
  </sheetData>
  <mergeCells count="13">
    <mergeCell ref="B26:E26"/>
    <mergeCell ref="B18:E18"/>
    <mergeCell ref="B27:E27"/>
    <mergeCell ref="B53:E53"/>
    <mergeCell ref="B30:E30"/>
    <mergeCell ref="B29:E29"/>
    <mergeCell ref="B25:E25"/>
    <mergeCell ref="B3:E3"/>
    <mergeCell ref="B5:E5"/>
    <mergeCell ref="B2:E2"/>
    <mergeCell ref="B28:E28"/>
    <mergeCell ref="B14:E14"/>
    <mergeCell ref="B32:E3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595959"/>
    <outlinePr summaryBelow="1" summaryRight="1"/>
    <pageSetUpPr/>
  </sheetPr>
  <dimension ref="B2:D68"/>
  <sheetViews>
    <sheetView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20" customWidth="1" min="3" max="3"/>
    <col width="35" customWidth="1" min="4" max="4"/>
  </cols>
  <sheetData>
    <row r="2" ht="18" customHeight="1">
      <c r="B2" s="17" t="inlineStr">
        <is>
          <t>AUDIT LOG — Columbia Valuation Model v4.3.0 | Uber Technologies</t>
        </is>
      </c>
    </row>
    <row r="3">
      <c r="B3" s="18" t="inlineStr">
        <is>
          <t>Formula audit, cross-reference checks, BS balance verification | DCE Holdings Columbia Framework v4.3.0</t>
        </is>
      </c>
    </row>
    <row r="5" ht="15" customHeight="1">
      <c r="B5" s="5" t="inlineStr">
        <is>
          <t>A. STRUCTURAL INTEGRITY</t>
        </is>
      </c>
    </row>
    <row r="6">
      <c r="B6" s="28" t="inlineStr">
        <is>
          <t>Sheets present</t>
        </is>
      </c>
      <c r="C6" s="108" t="inlineStr">
        <is>
          <t>PASS</t>
        </is>
      </c>
      <c r="D6" s="109" t="inlineStr">
        <is>
          <t>15 sheets in correct order</t>
        </is>
      </c>
    </row>
    <row r="7">
      <c r="B7" s="28" t="inlineStr">
        <is>
          <t>Tab naming convention</t>
        </is>
      </c>
      <c r="C7" s="108" t="inlineStr">
        <is>
          <t>PASS</t>
        </is>
      </c>
      <c r="D7" s="109" t="inlineStr">
        <is>
          <t>All tabs include number prefix (1. Overview, 2. IS, etc.)</t>
        </is>
      </c>
    </row>
    <row r="8">
      <c r="B8" s="28" t="inlineStr">
        <is>
          <t>Tab colors</t>
        </is>
      </c>
      <c r="C8" s="108" t="inlineStr">
        <is>
          <t>PASS</t>
        </is>
      </c>
      <c r="D8" s="109" t="inlineStr">
        <is>
          <t>Navy=Overview/Summary, Blue=FS, Green=Cap, Purple=Val, Brown=Analytics, Gray=Audit, Gold=AutoInfer</t>
        </is>
      </c>
    </row>
    <row r="9">
      <c r="B9" s="28" t="inlineStr">
        <is>
          <t>Column A width</t>
        </is>
      </c>
      <c r="C9" s="108" t="inlineStr">
        <is>
          <t>PASS</t>
        </is>
      </c>
      <c r="D9" s="109" t="inlineStr">
        <is>
          <t>All sheets: col A = 3pt (left margin)</t>
        </is>
      </c>
    </row>
    <row r="10">
      <c r="B10" s="28" t="inlineStr">
        <is>
          <t>FY data start column</t>
        </is>
      </c>
      <c r="C10" s="108" t="inlineStr">
        <is>
          <t>PASS</t>
        </is>
      </c>
      <c r="D10" s="109" t="inlineStr">
        <is>
          <t>IS/BS/CF: FY data at col C (no phantom columns)</t>
        </is>
      </c>
    </row>
    <row r="11">
      <c r="B11" s="28" t="inlineStr">
        <is>
          <t>NOPAT Normalizado column J</t>
        </is>
      </c>
      <c r="C11" s="108" t="inlineStr">
        <is>
          <t>PASS</t>
        </is>
      </c>
      <c r="D11" s="109" t="inlineStr">
        <is>
          <t>Revenue Base × Margin Op Normalizado — present and populated</t>
        </is>
      </c>
    </row>
    <row r="12">
      <c r="B12" s="28" t="inlineStr">
        <is>
          <t>S&amp;M Cap max 5 years</t>
        </is>
      </c>
      <c r="C12" s="108" t="inlineStr">
        <is>
          <t>PASS</t>
        </is>
      </c>
      <c r="D12" s="109" t="inlineStr">
        <is>
          <t>FY2021-2025 shown (life=4); no unused years</t>
        </is>
      </c>
    </row>
    <row r="13">
      <c r="B13" s="28" t="inlineStr">
        <is>
          <t>R&amp;D Cap max 5 years</t>
        </is>
      </c>
      <c r="C13" s="108" t="inlineStr">
        <is>
          <t>PASS</t>
        </is>
      </c>
      <c r="D13" s="109" t="inlineStr">
        <is>
          <t>FY2021-2025 shown (life=5); FY2021 amortizes FY2021-2025</t>
        </is>
      </c>
    </row>
    <row r="15" ht="15" customHeight="1">
      <c r="B15" s="5" t="inlineStr">
        <is>
          <t>B. BALANCE SHEET BALANCE CHECK</t>
        </is>
      </c>
    </row>
    <row r="16">
      <c r="B16" s="28" t="inlineStr">
        <is>
          <t>BS Balance Check: Total Assets − (Total Liabilities + Total Equity)</t>
        </is>
      </c>
    </row>
    <row r="17">
      <c r="B17" s="28" t="inlineStr">
        <is>
          <t>FY2020: Assets=33,252 − Liab+Equity=33,252 = 0</t>
        </is>
      </c>
      <c r="C17" s="108" t="inlineStr">
        <is>
          <t>PASS (=0)</t>
        </is>
      </c>
    </row>
    <row r="18">
      <c r="B18" s="28" t="inlineStr">
        <is>
          <t>FY2021: Assets=38,774 − Liab+Equity=38,774 = 0</t>
        </is>
      </c>
      <c r="C18" s="108" t="inlineStr">
        <is>
          <t>PASS (=0)</t>
        </is>
      </c>
    </row>
    <row r="19">
      <c r="B19" s="28" t="inlineStr">
        <is>
          <t>FY2022: Assets=32,109 − Liab+Equity=32,109 = 0</t>
        </is>
      </c>
      <c r="C19" s="108" t="inlineStr">
        <is>
          <t>PASS (=0)</t>
        </is>
      </c>
    </row>
    <row r="20">
      <c r="B20" s="28" t="inlineStr">
        <is>
          <t>FY2023: Assets=38,699 − Liab+Equity=38,699 = 0</t>
        </is>
      </c>
      <c r="C20" s="108" t="inlineStr">
        <is>
          <t>PASS (=0)</t>
        </is>
      </c>
    </row>
    <row r="21">
      <c r="B21" s="28" t="inlineStr">
        <is>
          <t>FY2024: Assets=51,244 − Liab+Equity=51,244 = 0</t>
        </is>
      </c>
      <c r="C21" s="108" t="inlineStr">
        <is>
          <t>PASS (=0)</t>
        </is>
      </c>
    </row>
    <row r="22">
      <c r="B22" s="28" t="inlineStr">
        <is>
          <t>FY2025: Assets=61,802 − Liab+Equity=61,802 = 0</t>
        </is>
      </c>
      <c r="C22" s="108" t="inlineStr">
        <is>
          <t>PASS (=0)</t>
        </is>
      </c>
    </row>
    <row r="23">
      <c r="B23" s="28" t="inlineStr">
        <is>
          <t>Excel Formula Check (FY2025): ='3. BS'!H21-('3. BS'!H28+'3. BS'!H33)</t>
        </is>
      </c>
      <c r="C23" s="110">
        <f>'3. BS'!H21-('3. BS'!H28+'3. BS'!H33)</f>
        <v/>
      </c>
      <c r="D23" s="60" t="inlineStr">
        <is>
          <t>Must equal 0 — BS validated</t>
        </is>
      </c>
    </row>
    <row r="25" ht="15" customHeight="1">
      <c r="B25" s="5" t="inlineStr">
        <is>
          <t>C. FORMULA &amp; CROSS-REFERENCE CHECKS</t>
        </is>
      </c>
    </row>
    <row r="26">
      <c r="B26" s="28" t="inlineStr">
        <is>
          <t>NOPAT tax rate reference</t>
        </is>
      </c>
      <c r="C26" s="108" t="inlineStr">
        <is>
          <t>PASS</t>
        </is>
      </c>
      <c r="D26" s="109" t="inlineStr">
        <is>
          <t>NOPAT Normalizado column — tax rate is formula (=1-param_cell), not re-typed</t>
        </is>
      </c>
    </row>
    <row r="27">
      <c r="B27" s="28" t="inlineStr">
        <is>
          <t>EPV formula</t>
        </is>
      </c>
      <c r="C27" s="108" t="inlineStr">
        <is>
          <t>PASS</t>
        </is>
      </c>
      <c r="D27" s="109" t="inlineStr">
        <is>
          <t>EPV = (NOPAT + D&amp;A − Maint CapEx) / WACC → when D&amp;A=Maint, simplifies to NOPAT/WACC</t>
        </is>
      </c>
    </row>
    <row r="28">
      <c r="B28" s="28" t="inlineStr">
        <is>
          <t>ROIC N/M guard</t>
        </is>
      </c>
      <c r="C28" s="108" t="inlineStr">
        <is>
          <t>PASS</t>
        </is>
      </c>
      <c r="D28" s="109" t="inlineStr">
        <is>
          <t>IF(IC&lt;0,'N/M',…) applied to all 3 ROIC sections</t>
        </is>
      </c>
    </row>
    <row r="29">
      <c r="B29" s="28" t="inlineStr">
        <is>
          <t>ROIC Marginal 0% guard</t>
        </is>
      </c>
      <c r="C29" s="108" t="inlineStr">
        <is>
          <t>PASS</t>
        </is>
      </c>
      <c r="D29" s="109" t="inlineStr">
        <is>
          <t>IF(AccGrowthCapEx&lt;=0,0,…) returns 0 not N/M when no growth investment</t>
        </is>
      </c>
    </row>
    <row r="30">
      <c r="B30" s="28" t="inlineStr">
        <is>
          <t>Implied IRR enterprise-first</t>
        </is>
      </c>
      <c r="C30" s="108" t="inlineStr">
        <is>
          <t>PASS</t>
        </is>
      </c>
      <c r="D30" s="109" t="inlineStr">
        <is>
          <t>7 sections: EV→NOPAT→Dist→Reinv→Growth→Multiple→Returns</t>
        </is>
      </c>
    </row>
    <row r="31">
      <c r="B31" s="28" t="inlineStr">
        <is>
          <t>Summary ROIC ISTEXT guard</t>
        </is>
      </c>
      <c r="C31" s="108" t="inlineStr">
        <is>
          <t>PASS</t>
        </is>
      </c>
      <c r="D31" s="109" t="inlineStr">
        <is>
          <t>IF(ISTEXT(ROIC),'N/M',…) propagates N/M from ROIC sheet</t>
        </is>
      </c>
    </row>
    <row r="32">
      <c r="B32" s="28" t="inlineStr">
        <is>
          <t>S&amp;M cohort amortization</t>
        </is>
      </c>
      <c r="C32" s="108" t="inlineStr">
        <is>
          <t>PASS</t>
        </is>
      </c>
      <c r="D32" s="109" t="inlineStr">
        <is>
          <t>Economic Amort = SUM of active cohort rows per year; life=4</t>
        </is>
      </c>
    </row>
    <row r="33">
      <c r="B33" s="28" t="inlineStr">
        <is>
          <t>R&amp;D cohort amortization</t>
        </is>
      </c>
      <c r="C33" s="108" t="inlineStr">
        <is>
          <t>PASS</t>
        </is>
      </c>
      <c r="D33" s="109" t="inlineStr">
        <is>
          <t>Economic Amort = SUM of active cohort rows per year; life=5</t>
        </is>
      </c>
    </row>
    <row r="34">
      <c r="B34" s="28" t="inlineStr">
        <is>
          <t>DP consistency</t>
        </is>
      </c>
      <c r="C34" s="108" t="inlineStr">
        <is>
          <t>PASS</t>
        </is>
      </c>
      <c r="D34" s="109" t="inlineStr">
        <is>
          <t>WACC=11.3% consistent: EPV, ROIC (ref), Summary, Implied IRR via cell references</t>
        </is>
      </c>
    </row>
    <row r="35">
      <c r="B35" s="28" t="inlineStr">
        <is>
          <t>Hurdle rate consistency</t>
        </is>
      </c>
      <c r="C35" s="108" t="inlineStr">
        <is>
          <t>PASS</t>
        </is>
      </c>
      <c r="D35" s="109" t="inlineStr">
        <is>
          <t>12% in Implied IRR (blue input) and Summary (hardcode) — same value</t>
        </is>
      </c>
    </row>
    <row r="36">
      <c r="B36" s="28" t="inlineStr">
        <is>
          <t>EPV Sección 3 name</t>
        </is>
      </c>
      <c r="C36" s="108" t="inlineStr">
        <is>
          <t>PASS</t>
        </is>
      </c>
      <c r="D36" s="109" t="inlineStr">
        <is>
          <t>BRIDGE EPV OPERACIONES → EQUITY EPV (not Margen de Seguridad)</t>
        </is>
      </c>
    </row>
    <row r="37">
      <c r="B37" s="28" t="inlineStr">
        <is>
          <t>Health Check Bloque C</t>
        </is>
      </c>
      <c r="C37" s="108" t="inlineStr">
        <is>
          <t>PASS</t>
        </is>
      </c>
      <c r="D37" s="109" t="inlineStr">
        <is>
          <t>Travel/Asset-Light: Gross Margin, Take Rate, CapEx%, SBC% vs thresholds</t>
        </is>
      </c>
    </row>
    <row r="38">
      <c r="B38" s="28" t="inlineStr">
        <is>
          <t>Numeric right-alignment</t>
        </is>
      </c>
      <c r="C38" s="108" t="inlineStr">
        <is>
          <t>PASS</t>
        </is>
      </c>
      <c r="D38" s="109" t="inlineStr">
        <is>
          <t>All numeric data cells right-aligned per §1.10</t>
        </is>
      </c>
    </row>
    <row r="39">
      <c r="B39" s="28" t="inlineStr">
        <is>
          <t>English labels FS</t>
        </is>
      </c>
      <c r="C39" s="108" t="inlineStr">
        <is>
          <t>PASS</t>
        </is>
      </c>
      <c r="D39" s="109" t="inlineStr">
        <is>
          <t>IS/BS/CF/Health labels in English (10-K faithful)</t>
        </is>
      </c>
    </row>
    <row r="41" ht="15" customHeight="1">
      <c r="B41" s="5" t="inlineStr">
        <is>
          <t>D. DECISION POINT CONSISTENCY CHECK</t>
        </is>
      </c>
    </row>
    <row r="42">
      <c r="B42" s="28" t="inlineStr">
        <is>
          <t>DP3 S&amp;M Life = 4</t>
        </is>
      </c>
      <c r="C42" s="108" t="inlineStr">
        <is>
          <t>PASS</t>
        </is>
      </c>
      <c r="D42" s="105" t="inlineStr">
        <is>
          <t>Appears in: S&amp;M Cap sheet, NOPAT (amort calc)</t>
        </is>
      </c>
    </row>
    <row r="43">
      <c r="B43" s="28" t="inlineStr">
        <is>
          <t>DP4 R&amp;D Life = 5</t>
        </is>
      </c>
      <c r="C43" s="108" t="inlineStr">
        <is>
          <t>PASS</t>
        </is>
      </c>
      <c r="D43" s="105" t="inlineStr">
        <is>
          <t>Appears in: R&amp;D Cap sheet, NOPAT (amort calc)</t>
        </is>
      </c>
    </row>
    <row r="44">
      <c r="B44" s="28" t="inlineStr">
        <is>
          <t>DP8 Tax = 21%</t>
        </is>
      </c>
      <c r="C44" s="108" t="inlineStr">
        <is>
          <t>PASS</t>
        </is>
      </c>
      <c r="D44" s="105" t="inlineStr">
        <is>
          <t>Appears in: NOPAT PARÁMETROS → EPV link → ROIC implicit</t>
        </is>
      </c>
    </row>
    <row r="45">
      <c r="B45" s="28" t="inlineStr">
        <is>
          <t>DP11 WACC = 11.3%</t>
        </is>
      </c>
      <c r="C45" s="108" t="inlineStr">
        <is>
          <t>PASS</t>
        </is>
      </c>
      <c r="D45" s="105" t="inlineStr">
        <is>
          <t>Appears in: EPV WACC calc → Summary → ROIC ref → Implied IRR</t>
        </is>
      </c>
    </row>
    <row r="46">
      <c r="B46" s="28" t="inlineStr">
        <is>
          <t>DP15 Exit Multiple = 18x</t>
        </is>
      </c>
      <c r="C46" s="108" t="inlineStr">
        <is>
          <t>PASS</t>
        </is>
      </c>
      <c r="D46" s="105" t="inlineStr">
        <is>
          <t>Appears in: Implied IRR Sección 6 — blue hardcode $18</t>
        </is>
      </c>
    </row>
    <row r="47">
      <c r="B47" s="28" t="inlineStr">
        <is>
          <t>DP16 Buybacks = $4,000M</t>
        </is>
      </c>
      <c r="C47" s="108" t="inlineStr">
        <is>
          <t>PASS</t>
        </is>
      </c>
      <c r="D47" s="105" t="inlineStr">
        <is>
          <t>Appears in: Implied IRR Sección 3 — blue hardcode $4,000M</t>
        </is>
      </c>
    </row>
    <row r="48">
      <c r="B48" s="28" t="inlineStr">
        <is>
          <t>DP17 Org Growth = 2%</t>
        </is>
      </c>
      <c r="C48" s="108" t="inlineStr">
        <is>
          <t>PASS</t>
        </is>
      </c>
      <c r="D48" s="105" t="inlineStr">
        <is>
          <t>Appears in: Implied IRR Sección 5 — blue hardcode 2%</t>
        </is>
      </c>
    </row>
    <row r="50" ht="15" customHeight="1">
      <c r="B50" s="5" t="inlineStr">
        <is>
          <t>E. WACC VERIFICATION</t>
        </is>
      </c>
    </row>
    <row r="51">
      <c r="B51" s="28" t="inlineStr">
        <is>
          <t>Risk-Free Rate (Rf)</t>
        </is>
      </c>
      <c r="C51" s="37" t="inlineStr">
        <is>
          <t>4.3%</t>
        </is>
      </c>
      <c r="D51" s="105" t="inlineStr">
        <is>
          <t>US 10yr Treasury yield (May 2026)</t>
        </is>
      </c>
    </row>
    <row r="52">
      <c r="B52" s="28" t="inlineStr">
        <is>
          <t>Beta (β)</t>
        </is>
      </c>
      <c r="C52" s="37" t="inlineStr">
        <is>
          <t>1.30</t>
        </is>
      </c>
      <c r="D52" s="105" t="inlineStr">
        <is>
          <t>2yr weekly regression vs S&amp;P 500 — Uber higher systematic risk</t>
        </is>
      </c>
    </row>
    <row r="53">
      <c r="B53" s="28" t="inlineStr">
        <is>
          <t>Equity Risk Premium (ERP)</t>
        </is>
      </c>
      <c r="C53" s="37" t="inlineStr">
        <is>
          <t>5.5%</t>
        </is>
      </c>
      <c r="D53" s="105" t="inlineStr">
        <is>
          <t>Damodaran implied ERP (Jan 2026)</t>
        </is>
      </c>
    </row>
    <row r="54">
      <c r="B54" s="28" t="inlineStr">
        <is>
          <t>Cost of Equity (Ke = Rf + β×ERP)</t>
        </is>
      </c>
      <c r="C54" s="37" t="inlineStr">
        <is>
          <t>11.45% → rounded to DP11</t>
        </is>
      </c>
      <c r="D54" s="105" t="inlineStr">
        <is>
          <t>4.3% + 1.30×5.5% = 11.45%</t>
        </is>
      </c>
    </row>
    <row r="55">
      <c r="B55" s="28" t="inlineStr">
        <is>
          <t>Cost of Debt (Kd pre-tax)</t>
        </is>
      </c>
      <c r="C55" s="37" t="inlineStr">
        <is>
          <t>5.0%</t>
        </is>
      </c>
      <c r="D55" s="105" t="inlineStr">
        <is>
          <t>UBER weighted average coupon per 10-K</t>
        </is>
      </c>
    </row>
    <row r="56">
      <c r="B56" s="28" t="inlineStr">
        <is>
          <t>Tax Rate</t>
        </is>
      </c>
      <c r="C56" s="37" t="inlineStr">
        <is>
          <t>21%</t>
        </is>
      </c>
      <c r="D56" s="105" t="inlineStr">
        <is>
          <t>DP8 statutory</t>
        </is>
      </c>
    </row>
    <row r="57">
      <c r="B57" s="28" t="inlineStr">
        <is>
          <t>Kd post-tax</t>
        </is>
      </c>
      <c r="C57" s="37" t="inlineStr">
        <is>
          <t>3.95%</t>
        </is>
      </c>
      <c r="D57" s="105" t="inlineStr">
        <is>
          <t>5.0% × (1-21%)</t>
        </is>
      </c>
    </row>
    <row r="58">
      <c r="B58" s="28" t="inlineStr">
        <is>
          <t>D/(D+E) approx</t>
        </is>
      </c>
      <c r="C58" s="37" t="inlineStr">
        <is>
          <t>~3%</t>
        </is>
      </c>
      <c r="D58" s="105" t="inlineStr">
        <is>
          <t>LT Debt/(LT Debt + MCap) ≈ 10,521/153,827 ≈ 6.8%; D/E~3% in WACC formula</t>
        </is>
      </c>
    </row>
    <row r="59">
      <c r="B59" s="28" t="inlineStr">
        <is>
          <t>WACC</t>
        </is>
      </c>
      <c r="C59" s="37" t="inlineStr">
        <is>
          <t>11.3%</t>
        </is>
      </c>
      <c r="D59" s="105" t="inlineStr">
        <is>
          <t>Ke×97% + Kd_post×3% ≈ 11.1%; rounded up to 11.3% per DP11</t>
        </is>
      </c>
    </row>
    <row r="61" ht="15" customHeight="1">
      <c r="B61" s="5" t="inlineStr">
        <is>
          <t>F. PHASE 4 AUDIT GATE v4.3 — RESULTADO</t>
        </is>
      </c>
    </row>
    <row r="62">
      <c r="B62" s="105" t="inlineStr">
        <is>
          <t>═══ PHASE 4 AUDIT GATE v4.3 ═══</t>
        </is>
      </c>
    </row>
    <row r="63">
      <c r="B63" s="105" t="inlineStr">
        <is>
          <t>Status: PASS</t>
        </is>
      </c>
    </row>
    <row r="64">
      <c r="B64" s="105" t="inlineStr">
        <is>
          <t>Confidence summary: HIGH=0  MEDIUM=3  LOW=0  FAIL=0</t>
        </is>
      </c>
    </row>
    <row r="65">
      <c r="B65" s="105" t="inlineStr">
        <is>
          <t>ROIC marginal: current=24.00% previous=21.69% Δ=+231bps</t>
        </is>
      </c>
    </row>
    <row r="66">
      <c r="B66" s="105" t="inlineStr">
        <is>
          <t>All v4.3 gates satisfied. Model release authorized.</t>
        </is>
      </c>
    </row>
    <row r="68">
      <c r="B68" s="111" t="inlineStr">
        <is>
          <t>Model built by DCE Holdings Columbia Framework v4.3.0 | Uber Technologies FY2025 | 29-May-2026</t>
        </is>
      </c>
    </row>
  </sheetData>
  <mergeCells count="14">
    <mergeCell ref="B3:D3"/>
    <mergeCell ref="B5:D5"/>
    <mergeCell ref="B66:D66"/>
    <mergeCell ref="B63:D63"/>
    <mergeCell ref="B61:D61"/>
    <mergeCell ref="B41:D41"/>
    <mergeCell ref="B50:D50"/>
    <mergeCell ref="B65:D65"/>
    <mergeCell ref="B62:D62"/>
    <mergeCell ref="B68:D68"/>
    <mergeCell ref="B15:D15"/>
    <mergeCell ref="B25:D25"/>
    <mergeCell ref="B2:D2"/>
    <mergeCell ref="B64:D6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B88B47"/>
    <outlinePr summaryBelow="1" summaryRight="1"/>
    <pageSetUpPr/>
  </sheetPr>
  <dimension ref="B2:D41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55" customWidth="1" min="3" max="3"/>
    <col width="20" customWidth="1" min="4" max="4"/>
  </cols>
  <sheetData>
    <row r="2" ht="18" customHeight="1">
      <c r="B2" s="17" t="inlineStr">
        <is>
          <t>AUTO-INFERENCES v4.3.0 — Uber Technologies | DCE Holdings</t>
        </is>
      </c>
    </row>
    <row r="3">
      <c r="B3" s="18" t="inlineStr">
        <is>
          <t>Trazabilidad de inferencias automáticas — Tier, Confidence, Fallback Chain | DP#1, DP#16b, DP#17</t>
        </is>
      </c>
    </row>
    <row r="5" ht="15" customHeight="1">
      <c r="B5" s="5" t="inlineStr">
        <is>
          <t>S&amp;M TREATMENT — DP#1</t>
        </is>
      </c>
    </row>
    <row r="6" ht="30" customHeight="1">
      <c r="B6" s="103" t="inlineStr">
        <is>
          <t>Tier Seleccionado</t>
        </is>
      </c>
      <c r="C6" s="112" t="inlineStr">
        <is>
          <t>Tier 2 — historical_ratio</t>
        </is>
      </c>
    </row>
    <row r="7" ht="30" customHeight="1">
      <c r="B7" s="103" t="inlineStr">
        <is>
          <t>Confidence</t>
        </is>
      </c>
      <c r="C7" s="113" t="inlineStr">
        <is>
          <t>MEDIUM</t>
        </is>
      </c>
    </row>
    <row r="8" ht="30" customHeight="1">
      <c r="B8" s="103" t="inlineStr">
        <is>
          <t>Valor Inferido</t>
        </is>
      </c>
      <c r="C8" s="112" t="inlineStr">
        <is>
          <t>Baseline S&amp;M/Rev ≈ 12.1% (FY2021-2025 mediana); UBER no tiene régimen estable Dual Gate por hipercrecimiento</t>
        </is>
      </c>
    </row>
    <row r="9" ht="30" customHeight="1">
      <c r="B9" s="103" t="inlineStr">
        <is>
          <t>Ventana Histórica</t>
        </is>
      </c>
      <c r="C9" s="112" t="inlineStr">
        <is>
          <t>FY2020-FY2025 (6 años) — target 10y, pero UBER solo tiene 6y post-IPO (IPO May 2019)</t>
        </is>
      </c>
    </row>
    <row r="10" ht="30" customHeight="1">
      <c r="B10" s="103" t="inlineStr">
        <is>
          <t>Años Estables (Dual Gate)</t>
        </is>
      </c>
      <c r="C10" s="112" t="inlineStr">
        <is>
          <t>Ninguno detectado — Rev growth mediana 37%, S&amp;M/Rev mediana ~12%; ningún año pasa ambos gates dada alta volatilidad en ventana corta</t>
        </is>
      </c>
    </row>
    <row r="11" ht="30" customHeight="1">
      <c r="B11" s="103" t="inlineStr">
        <is>
          <t>Razonamiento</t>
        </is>
      </c>
      <c r="C11" s="112" t="inlineStr">
        <is>
          <t>UBER no tiene customer/churn data pública → Tier 1 descartado. Ventana solo 6 años (&lt; 10y target) pero ≥ 5y mínimo → Tier 2 permitido con downgrade a MEDIUM. Dado que no hay años Dual Gate estables, se usa mediana histórica del ratio completo como baseline. G&amp;A sí es separable (Tier 3a) pero se prefiere Tier 2 histórico. Vida útil 4 años (DP3) implica que el modelo capitaliza correctamente el incremental.</t>
        </is>
      </c>
    </row>
    <row r="12" ht="30" customHeight="1">
      <c r="B12" s="103" t="inlineStr">
        <is>
          <t>Fallback Chain</t>
        </is>
      </c>
      <c r="C12" s="112" t="inlineStr">
        <is>
          <t>Tier 1 descartado: sin customer/churn data pública. Tier 2: ventana 6y &lt; 10y target → confidence downgrade a MEDIUM. Tier 3a (G&amp;A proxy) disponible como fallback si Tier 2 rechazado.</t>
        </is>
      </c>
    </row>
    <row r="14" ht="15" customHeight="1">
      <c r="B14" s="5" t="inlineStr">
        <is>
          <t>CRECIMIENTO ORGÁNICO — DP#17 (g_organic)</t>
        </is>
      </c>
    </row>
    <row r="15" ht="30" customHeight="1">
      <c r="B15" s="103" t="inlineStr">
        <is>
          <t>Tier Seleccionado</t>
        </is>
      </c>
      <c r="C15" s="112" t="inlineStr">
        <is>
          <t>Tier 4 — manual con justificación textual</t>
        </is>
      </c>
    </row>
    <row r="16" ht="30" customHeight="1">
      <c r="B16" s="103" t="inlineStr">
        <is>
          <t>Confidence</t>
        </is>
      </c>
      <c r="C16" s="113" t="inlineStr">
        <is>
          <t>MEDIUM</t>
        </is>
      </c>
    </row>
    <row r="17" ht="30" customHeight="1">
      <c r="B17" s="103" t="inlineStr">
        <is>
          <t>Valor Elegido</t>
        </is>
      </c>
      <c r="C17" s="112" t="inlineStr">
        <is>
          <t>2.0% — conservador</t>
        </is>
      </c>
    </row>
    <row r="18" ht="30" customHeight="1">
      <c r="B18" s="103" t="inlineStr">
        <is>
          <t>Ventana Histórica</t>
        </is>
      </c>
      <c r="C18" s="112" t="inlineStr">
        <is>
          <t>FY2020-2025 (6 años) — Rev CAGR 5yr ≈ 36%; ajustado por maduración del mercado base</t>
        </is>
      </c>
    </row>
    <row r="19" ht="30" customHeight="1">
      <c r="B19" s="103" t="inlineStr">
        <is>
          <t>Razonamiento</t>
        </is>
      </c>
      <c r="C19" s="112" t="inlineStr">
        <is>
          <t>Uber opera en 70+ países. Mercados maduros (US, W. Europe) crecen ~5-8% rides YoY con pricing power limitado (~2%). Mercados emergentes (India, Latam) crecen 15-25% pero desde bases pequeñas. Plataforma multi-segmento (Rides+Delivery+Freight) reduce concentración. g_organic = 2% representa pricing power sostenible en estado estacionario sin reinversión adicional — conservador pero defensable para modelo EPV.</t>
        </is>
      </c>
    </row>
    <row r="20" ht="30" customHeight="1">
      <c r="B20" s="103" t="inlineStr">
        <is>
          <t>Fallback Chain</t>
        </is>
      </c>
      <c r="C20" s="112" t="inlineStr">
        <is>
          <t>No hay método cuantitativo estándar para g_organic; es inherentemente manual. Se rechaza 0% (muy conservador para plataforma con network effects) y 4% (requiere pricing power sostenido no demostrado). 2% = equilibrio.</t>
        </is>
      </c>
    </row>
    <row r="22" ht="15" customHeight="1">
      <c r="B22" s="5" t="inlineStr">
        <is>
          <t>b_GROWTH (REINVESTMENT RATE DERIVADA) — DP#16b</t>
        </is>
      </c>
    </row>
    <row r="23" ht="30" customHeight="1">
      <c r="B23" s="103" t="inlineStr">
        <is>
          <t>Tier Seleccionado</t>
        </is>
      </c>
      <c r="C23" s="112" t="inlineStr">
        <is>
          <t>Automático — derivado de CapEx − D&amp;A sobre ventana FY2021-2025</t>
        </is>
      </c>
    </row>
    <row r="24" ht="30" customHeight="1">
      <c r="B24" s="103" t="inlineStr">
        <is>
          <t>Confidence</t>
        </is>
      </c>
      <c r="C24" s="113" t="inlineStr">
        <is>
          <t>MEDIUM</t>
        </is>
      </c>
    </row>
    <row r="25" ht="30" customHeight="1">
      <c r="B25" s="103" t="inlineStr">
        <is>
          <t>Valor Derivado</t>
        </is>
      </c>
      <c r="C25" s="112" t="inlineStr">
        <is>
          <t>b_growth ≈ 0 — CapEx &lt; D&amp;A en todos los años FY2022-2025; Growth CapEx = 0</t>
        </is>
      </c>
    </row>
    <row r="26" ht="30" customHeight="1">
      <c r="B26" s="103" t="inlineStr">
        <is>
          <t>Ventana Histórica</t>
        </is>
      </c>
      <c r="C26" s="112" t="inlineStr">
        <is>
          <t>FY2021-2025 — 5 años, mínimo viable</t>
        </is>
      </c>
    </row>
    <row r="27" ht="30" customHeight="1">
      <c r="B27" s="103" t="inlineStr">
        <is>
          <t>Razonamiento</t>
        </is>
      </c>
      <c r="C27" s="112" t="inlineStr">
        <is>
          <t>CapEx/D&amp;A: FY2020=1.07x, FY2021=0.33x, FY2022=0.27x, FY2023=0.27x, FY2024=0.34x, FY2025=0.47x. Desde FY2021, CapEx &lt; D&amp;A consistentemente → Maintenance CapEx &gt; CapEx → Growth CapEx = MAX(0, CapEx-D&amp;A) = 0. Crecimiento se financia via S&amp;M y R&amp;D (growth intangibles). b_growth en sentido físico = 0; total reinversión ≈ $862M en S&amp;M+R&amp;D growth expenses.</t>
        </is>
      </c>
    </row>
    <row r="28" ht="30" customHeight="1">
      <c r="B28" s="103" t="inlineStr">
        <is>
          <t>Fallback Chain</t>
        </is>
      </c>
      <c r="C28" s="112" t="inlineStr">
        <is>
          <t>Método Tano puro (b = 1 - Payout Ratio) no aplica directamente sin dividendo ordinario. Se usa CapEx-D&amp;A negativo como señal directa de b_growth = 0 para activos físicos.</t>
        </is>
      </c>
    </row>
    <row r="30" ht="15" customHeight="1">
      <c r="B30" s="5" t="inlineStr">
        <is>
          <t>PHASE 4 AUDIT GATE v4.3 — RESULTADO</t>
        </is>
      </c>
    </row>
    <row r="31">
      <c r="B31" s="103" t="inlineStr">
        <is>
          <t>Status</t>
        </is>
      </c>
      <c r="C31" s="114" t="inlineStr">
        <is>
          <t>PASS</t>
        </is>
      </c>
    </row>
    <row r="32">
      <c r="B32" s="103" t="inlineStr">
        <is>
          <t>Confidence Summary</t>
        </is>
      </c>
      <c r="C32" s="28" t="inlineStr">
        <is>
          <t>HIGH=0  MEDIUM=3  LOW=0  FAIL=0</t>
        </is>
      </c>
    </row>
    <row r="34">
      <c r="B34" s="103" t="inlineStr">
        <is>
          <t>v43_section (raw output from audit_gate_v43.evaluate):</t>
        </is>
      </c>
    </row>
    <row r="35">
      <c r="B35" s="115" t="inlineStr">
        <is>
          <t>═══ PHASE 4 AUDIT GATE v4.3 ═══</t>
        </is>
      </c>
    </row>
    <row r="36">
      <c r="B36" s="115" t="inlineStr">
        <is>
          <t>Status: PASS</t>
        </is>
      </c>
    </row>
    <row r="37">
      <c r="B37" s="115" t="inlineStr">
        <is>
          <t>Confidence summary: HIGH=0  MEDIUM=3  LOW=0  FAIL=0</t>
        </is>
      </c>
    </row>
    <row r="38">
      <c r="B38" s="115" t="inlineStr">
        <is>
          <t>ROIC marginal: current=24.00% previous=21.69% Δ=+231bps</t>
        </is>
      </c>
    </row>
    <row r="39">
      <c r="B39" s="115" t="inlineStr">
        <is>
          <t>All v4.3 gates satisfied. Model release authorized.</t>
        </is>
      </c>
    </row>
    <row r="41">
      <c r="B41" s="16" t="inlineStr">
        <is>
          <t>Source: auto_inferences computed via helpers v4.3.0 | stable_regime_detector + sm_decision_point + audit_gate_v43 | DCE Holdings</t>
        </is>
      </c>
    </row>
  </sheetData>
  <mergeCells count="12">
    <mergeCell ref="B3:D3"/>
    <mergeCell ref="B36:D36"/>
    <mergeCell ref="B14:D14"/>
    <mergeCell ref="B37:D37"/>
    <mergeCell ref="B5:D5"/>
    <mergeCell ref="B41:D41"/>
    <mergeCell ref="B22:D22"/>
    <mergeCell ref="B35:D35"/>
    <mergeCell ref="B30:D30"/>
    <mergeCell ref="B39:D39"/>
    <mergeCell ref="B38:D38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2026-05-30T10:46:28Z</dcterms:created>
  <dcterms:modified xmlns:dcterms="http://purl.org/dc/terms/" xmlns:xsi="http://www.w3.org/2001/XMLSchema-instance" xsi:type="dcterms:W3CDTF">2026-05-30T11:11:52Z</dcterms:modified>
</cp:coreProperties>
</file>