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Health" sheetId="5" state="visible" r:id="rId7"/>
    <sheet name="ROIC" sheetId="6" state="visible" r:id="rId8"/>
    <sheet name="NOPAT" sheetId="7" state="visible" r:id="rId9"/>
    <sheet name="PIM" sheetId="8" state="visible" r:id="rId10"/>
    <sheet name="Reproduction Value" sheetId="9" state="visible" r:id="rId11"/>
    <sheet name="EPV" sheetId="10" state="visible" r:id="rId12"/>
    <sheet name="Franchise Value" sheetId="11" state="visible" r:id="rId13"/>
    <sheet name="Implied IRR" sheetId="12" state="visible" r:id="rId14"/>
    <sheet name="Summary" sheetId="13" state="visible" r:id="rId15"/>
    <sheet name="Audit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<sst xmlns="http://schemas.openxmlformats.org/spreadsheetml/2006/main" count="882" uniqueCount="637">
  <si>
    <t xml:space="preserve">DCE HOLDINGS COLUMBIA VALUATION MODEL</t>
  </si>
  <si>
    <t xml:space="preserve">UBER TECHNOLOGIES, INC. (NYSE: UBER)</t>
  </si>
  <si>
    <t xml:space="preserve">Company:</t>
  </si>
  <si>
    <t xml:space="preserve">Uber Technologies, Inc.</t>
  </si>
  <si>
    <t xml:space="preserve">Stock Price:</t>
  </si>
  <si>
    <t xml:space="preserve">$70.40</t>
  </si>
  <si>
    <t xml:space="preserve">Ticker:</t>
  </si>
  <si>
    <t xml:space="preserve">UBER</t>
  </si>
  <si>
    <t xml:space="preserve">Market Cap:</t>
  </si>
  <si>
    <t xml:space="preserve">$143.3B</t>
  </si>
  <si>
    <t xml:space="preserve">Exchange:</t>
  </si>
  <si>
    <t xml:space="preserve">NYSE</t>
  </si>
  <si>
    <t xml:space="preserve">EV (approx):</t>
  </si>
  <si>
    <t xml:space="preserve">$141.0B</t>
  </si>
  <si>
    <t xml:space="preserve">Analysis Date:</t>
  </si>
  <si>
    <t xml:space="preserve">May 2026</t>
  </si>
  <si>
    <t xml:space="preserve">Net Debt (Cash):</t>
  </si>
  <si>
    <t xml:space="preserve">$(2.2B)</t>
  </si>
  <si>
    <t xml:space="preserve">Framework:</t>
  </si>
  <si>
    <t xml:space="preserve">DCE Holdings Columbia Framework v4.2.1</t>
  </si>
  <si>
    <t xml:space="preserve">52-week Range:</t>
  </si>
  <si>
    <t xml:space="preserve">$68.46 - $101.99</t>
  </si>
  <si>
    <t xml:space="preserve">Analyst:</t>
  </si>
  <si>
    <t xml:space="preserve">DCE Holdings Investment Team</t>
  </si>
  <si>
    <t xml:space="preserve">P/E TTM:</t>
  </si>
  <si>
    <t xml:space="preserve">17.5x</t>
  </si>
  <si>
    <t xml:space="preserve">Currency:</t>
  </si>
  <si>
    <t xml:space="preserve">USD Millions (unless noted)</t>
  </si>
  <si>
    <t xml:space="preserve">FY26E EPS:</t>
  </si>
  <si>
    <t xml:space="preserve">$3.89</t>
  </si>
  <si>
    <t xml:space="preserve">Fiscal Year End:</t>
  </si>
  <si>
    <t xml:space="preserve">December 31</t>
  </si>
  <si>
    <t xml:space="preserve">FY27E EPS:</t>
  </si>
  <si>
    <t xml:space="preserve">$5.04</t>
  </si>
  <si>
    <t xml:space="preserve">KEY VALUATION OUTPUTS (Phase 1 Estimates)</t>
  </si>
  <si>
    <t xml:space="preserve">EPV</t>
  </si>
  <si>
    <t xml:space="preserve">Reproduction Value</t>
  </si>
  <si>
    <t xml:space="preserve">Franchise Value</t>
  </si>
  <si>
    <t xml:space="preserve">Implied IRR (Base)</t>
  </si>
  <si>
    <t xml:space="preserve">Hurdle Rate</t>
  </si>
  <si>
    <t xml:space="preserve">12.0%</t>
  </si>
  <si>
    <t xml:space="preserve">EPV Per Share ($)</t>
  </si>
  <si>
    <t xml:space="preserve">Model built by DCE Holdings Columbia Framework v4.2.1  |  Confidential — For Internal Use Only</t>
  </si>
  <si>
    <t xml:space="preserve">UBER TECHNOLOGIES, INC. — INCOME STATEMENT (USD Millions)</t>
  </si>
  <si>
    <t xml:space="preserve">Line Item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</si>
  <si>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</si>
  <si>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</si>
  <si>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</si>
  <si>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</si>
  <si>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</si>
  <si>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</si>
  <si>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Revenue</t>
  </si>
  <si>
    <t xml:space="preserve">  YoY Growth</t>
  </si>
  <si>
    <t xml:space="preserve">N/A</t>
  </si>
  <si>
    <t xml:space="preserve">Cost of Revenue</t>
  </si>
  <si>
    <t xml:space="preserve">Gross Profit</t>
  </si>
  <si>
    <t xml:space="preserve">Gross Margin</t>
  </si>
  <si>
    <t xml:space="preserve">OPERATING EXPENSES</t>
  </si>
  <si>
    <t xml:space="preserve">Sales &amp; Marketing (S&amp;M)</t>
  </si>
  <si>
    <t xml:space="preserve">Research &amp; Development</t>
  </si>
  <si>
    <t xml:space="preserve">General &amp; Administrative</t>
  </si>
  <si>
    <t xml:space="preserve">Total OpEx</t>
  </si>
  <si>
    <t xml:space="preserve">Operating Income (EBIT)</t>
  </si>
  <si>
    <t xml:space="preserve">Operating Margin</t>
  </si>
  <si>
    <t xml:space="preserve">NON-OPERATING ITEMS</t>
  </si>
  <si>
    <t xml:space="preserve">Interest Expense</t>
  </si>
  <si>
    <t xml:space="preserve">Interest Income</t>
  </si>
  <si>
    <t xml:space="preserve">Other Income/(Expense)</t>
  </si>
  <si>
    <t xml:space="preserve">Pre-Tax Income</t>
  </si>
  <si>
    <t xml:space="preserve">Tax Expense (Benefit)</t>
  </si>
  <si>
    <t xml:space="preserve">Effective Tax Rate</t>
  </si>
  <si>
    <t xml:space="preserve">Net Income</t>
  </si>
  <si>
    <t xml:space="preserve">PER SHARE DATA</t>
  </si>
  <si>
    <t xml:space="preserve">Diluted EPS</t>
  </si>
  <si>
    <t xml:space="preserve">Diluted Shares (M)</t>
  </si>
  <si>
    <t xml:space="preserve">SUPPLEMENTAL</t>
  </si>
  <si>
    <t xml:space="preserve">D&amp;A</t>
  </si>
  <si>
    <t xml:space="preserve">SBC (Stock-Based Comp)</t>
  </si>
  <si>
    <t xml:space="preserve">EBITDA</t>
  </si>
  <si>
    <t xml:space="preserve">EBITDA Margin</t>
  </si>
  <si>
    <t xml:space="preserve">UBER TECHNOLOGIES, INC. — BALANCE SHEET (USD Millions, FY2025)</t>
  </si>
  <si>
    <t xml:space="preserve">Balance Sheet Item</t>
  </si>
  <si>
    <t xml:space="preserve">FY2025 ($M)</t>
  </si>
  <si>
    <t xml:space="preserve">Notes</t>
  </si>
  <si>
    <t xml:space="preserve">ASSETS</t>
  </si>
  <si>
    <t xml:space="preserve">Current Assets</t>
  </si>
  <si>
    <t xml:space="preserve">  Cash &amp; Equivalents</t>
  </si>
  <si>
    <t xml:space="preserve">Balance Sheet</t>
  </si>
  <si>
    <t xml:space="preserve">  Short-Term Investments</t>
  </si>
  <si>
    <t xml:space="preserve">  Accounts Receivable</t>
  </si>
  <si>
    <t xml:space="preserve">  Other Current Assets</t>
  </si>
  <si>
    <t xml:space="preserve">Estimated</t>
  </si>
  <si>
    <t xml:space="preserve">Total Current Assets</t>
  </si>
  <si>
    <t xml:space="preserve">Non-Current Assets</t>
  </si>
  <si>
    <t xml:space="preserve">  PP&amp;E, net</t>
  </si>
  <si>
    <t xml:space="preserve">  Goodwill</t>
  </si>
  <si>
    <t xml:space="preserve">  Intangible Assets</t>
  </si>
  <si>
    <t xml:space="preserve">  Equity Investments (Aurora/Didi/Joby/Grab)</t>
  </si>
  <si>
    <t xml:space="preserve">Aurora/Didi/Joby/Grab ~$7B</t>
  </si>
  <si>
    <t xml:space="preserve">  ROU Assets (Operating Leases)</t>
  </si>
  <si>
    <t xml:space="preserve">ASC 842 capitalized</t>
  </si>
  <si>
    <t xml:space="preserve">  Deferred Tax Assets (DTA)</t>
  </si>
  <si>
    <t xml:space="preserve">Estimated (depleting ~2027-28)</t>
  </si>
  <si>
    <t xml:space="preserve">  Other Non-Current Assets</t>
  </si>
  <si>
    <t xml:space="preserve">Total Non-Current Assets</t>
  </si>
  <si>
    <t xml:space="preserve">TOTAL ASSETS</t>
  </si>
  <si>
    <t xml:space="preserve">LIABILITIES &amp; EQUITY</t>
  </si>
  <si>
    <t xml:space="preserve">Current Liabilities</t>
  </si>
  <si>
    <t xml:space="preserve">  Accounts Payable</t>
  </si>
  <si>
    <t xml:space="preserve">  Accrued Liabilities</t>
  </si>
  <si>
    <t xml:space="preserve">  Short-Term Debt</t>
  </si>
  <si>
    <t xml:space="preserve">  Current Operating Lease</t>
  </si>
  <si>
    <t xml:space="preserve">  Other Current Liabilities</t>
  </si>
  <si>
    <t xml:space="preserve">Total Current Liabilities</t>
  </si>
  <si>
    <t xml:space="preserve">Non-Current Liabilities</t>
  </si>
  <si>
    <t xml:space="preserve">  Long-Term Debt</t>
  </si>
  <si>
    <t xml:space="preserve">  LT Operating Lease Liability</t>
  </si>
  <si>
    <t xml:space="preserve">  Deferred Tax Liability (DTL)</t>
  </si>
  <si>
    <t xml:space="preserve">  Other Non-Current Liabilities</t>
  </si>
  <si>
    <t xml:space="preserve">Total Non-Current Liabilities</t>
  </si>
  <si>
    <t xml:space="preserve">TOTAL LIABILITIES</t>
  </si>
  <si>
    <t xml:space="preserve">EQUITY</t>
  </si>
  <si>
    <t xml:space="preserve">  Common Equity + APIC</t>
  </si>
  <si>
    <t xml:space="preserve">  Retained Earnings (Deficit)</t>
  </si>
  <si>
    <t xml:space="preserve">  Other Comprehensive Income</t>
  </si>
  <si>
    <t xml:space="preserve">Minimal</t>
  </si>
  <si>
    <t xml:space="preserve">Total Equity</t>
  </si>
  <si>
    <t xml:space="preserve">TOTAL LIABILITIES &amp; EQUITY</t>
  </si>
  <si>
    <t xml:space="preserve">BALANCE CHECK</t>
  </si>
  <si>
    <t xml:space="preserve">Assets = Liabilities + Equity?</t>
  </si>
  <si>
    <t xml:space="preserve">UBER TECHNOLOGIES, INC. — CASH FLOW STATEMENT (USD Millions)</t>
  </si>
  <si>
    <t xml:space="preserve">FY2023</t>
  </si>
  <si>
    <t xml:space="preserve">FY2024</t>
  </si>
  <si>
    <t xml:space="preserve">FY2025</t>
  </si>
  <si>
    <t xml:space="preserve">3-Yr Avg</t>
  </si>
  <si>
    <t xml:space="preserve">OPERATING ACTIVITIES</t>
  </si>
  <si>
    <t xml:space="preserve">  Add: D&amp;A</t>
  </si>
  <si>
    <t xml:space="preserve">  Add: SBC</t>
  </si>
  <si>
    <t xml:space="preserve">  Change in Working Capital</t>
  </si>
  <si>
    <t xml:space="preserve">  Other Non-Cash Items</t>
  </si>
  <si>
    <t xml:space="preserve">Cash from Operations (CFO)</t>
  </si>
  <si>
    <t xml:space="preserve">INVESTING ACTIVITIES</t>
  </si>
  <si>
    <t xml:space="preserve">  Capital Expenditures (CapEx)</t>
  </si>
  <si>
    <t xml:space="preserve">  Acquisitions / Investments</t>
  </si>
  <si>
    <t xml:space="preserve">  Other Investing</t>
  </si>
  <si>
    <t xml:space="preserve">Cash from Investing (CFI)</t>
  </si>
  <si>
    <t xml:space="preserve">FINANCING ACTIVITIES</t>
  </si>
  <si>
    <t xml:space="preserve">  Buybacks / Share Repurchases</t>
  </si>
  <si>
    <t xml:space="preserve">  Debt Issuances / (Repayments)</t>
  </si>
  <si>
    <t xml:space="preserve">  Stock Issuances</t>
  </si>
  <si>
    <t xml:space="preserve">  Dividends Paid</t>
  </si>
  <si>
    <t xml:space="preserve">Cash from Financing (CFF)</t>
  </si>
  <si>
    <t xml:space="preserve">FREE CASH FLOW ANALYSIS</t>
  </si>
  <si>
    <t xml:space="preserve">Free Cash Flow (CFO - CapEx)</t>
  </si>
  <si>
    <t xml:space="preserve">FCF Margin</t>
  </si>
  <si>
    <t xml:space="preserve">FCF Conversion (FCF / Net Inc)</t>
  </si>
  <si>
    <t xml:space="preserve">CAPITAL ALLOCATION SUMMARY</t>
  </si>
  <si>
    <t xml:space="preserve">Buybacks</t>
  </si>
  <si>
    <t xml:space="preserve">Dividends</t>
  </si>
  <si>
    <t xml:space="preserve">Total Capital Returned to Shareholders</t>
  </si>
  <si>
    <t xml:space="preserve">CapEx</t>
  </si>
  <si>
    <t xml:space="preserve">Net Debt Change</t>
  </si>
  <si>
    <t xml:space="preserve">UBER TECHNOLOGIES — FINANCIAL HEALTH DASHBOARD (11 Key Metrics)</t>
  </si>
  <si>
    <t xml:space="preserve">Health metrics derived from Income Statement, Balance Sheet, and Cash Flow. Cross-sheet formulas where applicable.</t>
  </si>
  <si>
    <t xml:space="preserve">Metric</t>
  </si>
  <si>
    <t xml:space="preserve">Benchmark / Note</t>
  </si>
  <si>
    <t xml:space="preserve">1. Revenue Growth YoY</t>
  </si>
  <si>
    <t xml:space="preserve">Rides + Delivery expansion</t>
  </si>
  <si>
    <t xml:space="preserve">2. Gross Margin</t>
  </si>
  <si>
    <t xml:space="preserve">Gross Profit / Revenue</t>
  </si>
  <si>
    <t xml:space="preserve">3. EBIT (Operating) Margin</t>
  </si>
  <si>
    <t xml:space="preserve">EBIT / Revenue — key profitability signal</t>
  </si>
  <si>
    <t xml:space="preserve">4. Net Profit Margin</t>
  </si>
  <si>
    <t xml:space="preserve">Net Income / Revenue</t>
  </si>
  <si>
    <t xml:space="preserve">5. Net Debt / EBITDA</t>
  </si>
  <si>
    <t xml:space="preserve">Net Debt = Debt - Cash; FY24+ net cash</t>
  </si>
  <si>
    <t xml:space="preserve">6. Current Ratio</t>
  </si>
  <si>
    <t xml:space="preserve">Current Assets / Current Liabilities</t>
  </si>
  <si>
    <t xml:space="preserve">7. Interest Coverage (EBIT/Interest)</t>
  </si>
  <si>
    <t xml:space="preserve">EBIT / Interest Expense</t>
  </si>
  <si>
    <t xml:space="preserve">8. FCF Conversion</t>
  </si>
  <si>
    <t xml:space="preserve">Free Cash Flow / Net Income</t>
  </si>
  <si>
    <t xml:space="preserve">9. Return on Equity (ROE)</t>
  </si>
  <si>
    <t xml:space="preserve">Net Income / Avg Equity</t>
  </si>
  <si>
    <t xml:space="preserve">10. Return on Assets (ROA)</t>
  </si>
  <si>
    <t xml:space="preserve">Net Income / Total Assets</t>
  </si>
  <si>
    <t xml:space="preserve">11. ROIC (preview)</t>
  </si>
  <si>
    <t xml:space="preserve">See ROIC sheet for detail; 3-yr avg = 16.7%</t>
  </si>
  <si>
    <t xml:space="preserve">HEALTH INTERPRETATION: Uber has achieved strong FCF conversion (~160%+) with positive EBIT in 2023-2025. Net leverage is now negative (net cash). ROIC trajectory (8%→22%) demonstrates scaling economics.</t>
  </si>
  <si>
    <t xml:space="preserve">UBER TECHNOLOGIES — RETURN ON INVESTED CAPITAL (ROIC)</t>
  </si>
  <si>
    <t xml:space="preserve">DP #4: Selected ROIC = 3-Year Average (2023-2025) = 16.7%  |  Smooths the profitability inflection of 2023-2025</t>
  </si>
  <si>
    <t xml:space="preserve">Component</t>
  </si>
  <si>
    <t xml:space="preserve">NOPAT CALCULATION</t>
  </si>
  <si>
    <t xml:space="preserve">EBIT (Operating Income)</t>
  </si>
  <si>
    <t xml:space="preserve">IS row 16</t>
  </si>
  <si>
    <t xml:space="preserve">Normalized Tax Rate</t>
  </si>
  <si>
    <t xml:space="preserve">DP #1: 21% statutory</t>
  </si>
  <si>
    <t xml:space="preserve">NOPAT</t>
  </si>
  <si>
    <t xml:space="preserve">EBIT × (1-Tax)</t>
  </si>
  <si>
    <t xml:space="preserve">INVESTED CAPITAL</t>
  </si>
  <si>
    <t xml:space="preserve">Approx avg</t>
  </si>
  <si>
    <t xml:space="preserve">Total Debt (LT + ST)</t>
  </si>
  <si>
    <t xml:space="preserve">~$10B</t>
  </si>
  <si>
    <t xml:space="preserve">Less: Cash &amp; Equivalents</t>
  </si>
  <si>
    <t xml:space="preserve">Avg est</t>
  </si>
  <si>
    <t xml:space="preserve">Less: Excess Investments</t>
  </si>
  <si>
    <t xml:space="preserve">Aurora/Didi/Joby/Grab</t>
  </si>
  <si>
    <t xml:space="preserve">Invested Capital (IC)</t>
  </si>
  <si>
    <t xml:space="preserve">Equity + Debt - Cash - Excl. Assets</t>
  </si>
  <si>
    <t xml:space="preserve">ROIC CALCULATION</t>
  </si>
  <si>
    <t xml:space="preserve">ROIC (NOPAT / IC)</t>
  </si>
  <si>
    <t xml:space="preserve">Key return metric</t>
  </si>
  <si>
    <t xml:space="preserve">SELECTED ROIC</t>
  </si>
  <si>
    <t xml:space="preserve">3-Year Average ROIC</t>
  </si>
  <si>
    <t xml:space="preserve">← DP #4 Selected</t>
  </si>
  <si>
    <t xml:space="preserve">DP #4 — used in EPV &amp; Franchise calculations</t>
  </si>
  <si>
    <t xml:space="preserve">WACC (for comparison)</t>
  </si>
  <si>
    <t xml:space="preserve">DP #6: WACC = 9.5%</t>
  </si>
  <si>
    <t xml:space="preserve">Spread (ROIC - WACC)</t>
  </si>
  <si>
    <t xml:space="preserve">Positive = Value Creation</t>
  </si>
  <si>
    <t xml:space="preserve">UBER TECHNOLOGIES — NOPAT NORMALIZATION ANALYSIS</t>
  </si>
  <si>
    <t xml:space="preserve">Column J 'Normalizado' = analytical inputs determined within this sheet (Revenue Base, Margen Op Normalizado). Blue font = analytical. Per DP #8: Normalization Window = 2023-2025 (first profitable period).</t>
  </si>
  <si>
    <t xml:space="preserve">Normalizado</t>
  </si>
  <si>
    <t xml:space="preserve">REPORTED OPERATING METRICS</t>
  </si>
  <si>
    <t xml:space="preserve">Revenue ($M)</t>
  </si>
  <si>
    <t xml:space="preserve">FY2025 base</t>
  </si>
  <si>
    <t xml:space="preserve">FY2025 EBIT</t>
  </si>
  <si>
    <t xml:space="preserve">Reported Operating Margin</t>
  </si>
  <si>
    <t xml:space="preserve">Reported op margin = EBIT / Revenue</t>
  </si>
  <si>
    <t xml:space="preserve">NORMALIZATION ADJUSTMENTS</t>
  </si>
  <si>
    <t xml:space="preserve">(+) Restructuring / One-Time Items</t>
  </si>
  <si>
    <t xml:space="preserve">Added back 2020-22 only</t>
  </si>
  <si>
    <t xml:space="preserve">(+) Impairment (Aurora/Postmates)</t>
  </si>
  <si>
    <t xml:space="preserve">DP#8: Non-recurring</t>
  </si>
  <si>
    <t xml:space="preserve">DTA Tax Release (NOT in EBIT)</t>
  </si>
  <si>
    <t xml:space="preserve">DP#8: below EBIT line</t>
  </si>
  <si>
    <t xml:space="preserve">Total Adjustments</t>
  </si>
  <si>
    <t xml:space="preserve">Normalized EBIT</t>
  </si>
  <si>
    <t xml:space="preserve">NORMALIZED TAX CALCULATION</t>
  </si>
  <si>
    <t xml:space="preserve">DP #1: 21%</t>
  </si>
  <si>
    <t xml:space="preserve">Tax on Normalized EBIT</t>
  </si>
  <si>
    <t xml:space="preserve">Tax on Norm EBIT x 21%</t>
  </si>
  <si>
    <t xml:space="preserve">NOPAT = EBIT(norm) × (1 - 21%)</t>
  </si>
  <si>
    <t xml:space="preserve">NORMALIZADO ANALYTICAL INPUTS (Col J)</t>
  </si>
  <si>
    <t xml:space="preserve">Revenue Base (Normalizado)</t>
  </si>
  <si>
    <t xml:space="preserve">FY2025 revenue</t>
  </si>
  <si>
    <t xml:space="preserve">Margen Op Normalizado</t>
  </si>
  <si>
    <t xml:space="preserve">FY2025 op margin</t>
  </si>
  <si>
    <t xml:space="preserve">Normalized EBIT (Margen × Rev)</t>
  </si>
  <si>
    <t xml:space="preserve">Norm EBIT = Revenue x Margen</t>
  </si>
  <si>
    <t xml:space="preserve">Norm NOPAT (×(1-21%))</t>
  </si>
  <si>
    <t xml:space="preserve">Norm NOPAT = Norm EBIT x 79%</t>
  </si>
  <si>
    <t xml:space="preserve">3-Yr Avg NOPAT (2023-25, historical)</t>
  </si>
  <si>
    <t xml:space="preserve">3-Yr Avg NOPAT ($M)</t>
  </si>
  <si>
    <t xml:space="preserve">FY2025 normalized NOPAT: Revenue x Margin x (1-Tax). See J24-J27.</t>
  </si>
  <si>
    <t xml:space="preserve">UBER TECHNOLOGIES — PRETAX INTANGIBLE MIGRATION (PIM) ANALYSIS</t>
  </si>
  <si>
    <t xml:space="preserve">DP #2: S&amp;M Useful Life = 4 years  |  DP #3: R&amp;D Useful Life = 5 years  |  DP #4 (R&amp;D Cap): YES (~$3.4B/yr)  |  DP #5: S&amp;M Proxy = Sales &amp; Marketing line</t>
  </si>
  <si>
    <t xml:space="preserve">SECTION 1: SALES &amp; MARKETING CAPITALIZATION (Useful Life: 4 Years)</t>
  </si>
  <si>
    <t xml:space="preserve">Year Incurred</t>
  </si>
  <si>
    <t xml:space="preserve">S&amp;M Spend ($M)</t>
  </si>
  <si>
    <t xml:space="preserve">Annual Amort</t>
  </si>
  <si>
    <t xml:space="preserve">Yr1 Amort</t>
  </si>
  <si>
    <t xml:space="preserve">Yr2 Amort</t>
  </si>
  <si>
    <t xml:space="preserve">Yr3 Amort</t>
  </si>
  <si>
    <t xml:space="preserve">Yr4 Amort</t>
  </si>
  <si>
    <t xml:space="preserve">Net S&amp;M Capitalized Asset (FY2025 $M)</t>
  </si>
  <si>
    <t xml:space="preserve">(4/4) x 5243 + (3/4) x 4824 + (2/4) x 4448 + (1/4) x 4123</t>
  </si>
  <si>
    <t xml:space="preserve">Annual S&amp;M Amortization (FY2025 $M)</t>
  </si>
  <si>
    <t xml:space="preserve">SECTION 2: R&amp;D CAPITALIZATION (Useful Life: 5 Years) — DP #4: YES</t>
  </si>
  <si>
    <t xml:space="preserve">R&amp;D Spend ($M)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</si>
  <si>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</si>
  <si>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</si>
  <si>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</si>
  <si>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</si>
  <si>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</si>
  <si>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Net R&amp;D Capitalized Asset (FY2025 $M)</t>
  </si>
  <si>
    <t xml:space="preserve">(5/5) x 3420 + (4/5) x 3250 + (3/5) x 3164 + (2/5) x 2810 + (1/5) x 2054</t>
  </si>
  <si>
    <t xml:space="preserve">Annual R&amp;D Amortization (FY2025 $M)</t>
  </si>
  <si>
    <t xml:space="preserve">PIM SUMMARY — INTANGIBLE ASSET ADJUSTMENTS TO NOPAT</t>
  </si>
  <si>
    <t xml:space="preserve">S&amp;M Spend Capitalized (FY2025)</t>
  </si>
  <si>
    <t xml:space="preserve">Excludes from P&amp;L; treat as CapEx</t>
  </si>
  <si>
    <t xml:space="preserve">Less: S&amp;M Amortization (FY2025)</t>
  </si>
  <si>
    <t xml:space="preserve">Add back to P&amp;L (4-yr life)</t>
  </si>
  <si>
    <t xml:space="preserve">Net S&amp;M PIM Adjustment</t>
  </si>
  <si>
    <t xml:space="preserve">Spend minus Amortization</t>
  </si>
  <si>
    <t xml:space="preserve">R&amp;D Spend Capitalized (FY2025)</t>
  </si>
  <si>
    <t xml:space="preserve">Less: R&amp;D Amortization (FY2025)</t>
  </si>
  <si>
    <t xml:space="preserve">Add back to P&amp;L (5-yr life)</t>
  </si>
  <si>
    <t xml:space="preserve">Net R&amp;D PIM Adjustment</t>
  </si>
  <si>
    <t xml:space="preserve">Net Capitalized S&amp;M Asset</t>
  </si>
  <si>
    <t xml:space="preserve">Added to Invested Capital</t>
  </si>
  <si>
    <t xml:space="preserve">Net Capitalized R&amp;D Asset</t>
  </si>
  <si>
    <t xml:space="preserve">Total Intangible Assets (PIM)</t>
  </si>
  <si>
    <t xml:space="preserve">Used in Reproduction Value</t>
  </si>
  <si>
    <t xml:space="preserve">UBER TECHNOLOGIES — REPRODUCTION VALUE (RV) ANALYSIS</t>
  </si>
  <si>
    <t xml:space="preserve">DP #9: Reproduction Value methodology: Assets at replacement cost | Goodwill RV=0% (DP#13) | Intangibles by category: Driver/Rider base (CAC×MAUs), Brand, Tech (R&amp;D cap), City Licenses | DTA at 70% (DP#15)</t>
  </si>
  <si>
    <t xml:space="preserve">[Net RV — cross-sheet anchor]</t>
  </si>
  <si>
    <t xml:space="preserve">Reproduction Value ($M)</t>
  </si>
  <si>
    <t xml:space="preserve">Methodology / Assumption</t>
  </si>
  <si>
    <t xml:space="preserve">DP Reference</t>
  </si>
  <si>
    <t xml:space="preserve">TANGIBLE OPERATING ASSETS</t>
  </si>
  <si>
    <t xml:space="preserve">Cash &amp; Equivalents</t>
  </si>
  <si>
    <t xml:space="preserve">At face value</t>
  </si>
  <si>
    <t xml:space="preserve">Short-Term Investments</t>
  </si>
  <si>
    <t xml:space="preserve">At fair value (liquid)</t>
  </si>
  <si>
    <t xml:space="preserve">Accounts Receivable</t>
  </si>
  <si>
    <t xml:space="preserve">Slight haircut for credit risk</t>
  </si>
  <si>
    <t xml:space="preserve">Other Current Assets</t>
  </si>
  <si>
    <t xml:space="preserve">Estimated replacement</t>
  </si>
  <si>
    <t xml:space="preserve">PP&amp;E, net</t>
  </si>
  <si>
    <t xml:space="preserve">Replacement cost (data centers, leasehold)</t>
  </si>
  <si>
    <t xml:space="preserve">ROU Assets (ASC 842)</t>
  </si>
  <si>
    <t xml:space="preserve">Already capitalized, at carrying value</t>
  </si>
  <si>
    <t xml:space="preserve">Total Tangible Operating Assets</t>
  </si>
  <si>
    <t xml:space="preserve">INTANGIBLE ASSETS (BY CATEGORY)</t>
  </si>
  <si>
    <t xml:space="preserve">  Driver/Rider Network (CAC×MAUs)</t>
  </si>
  <si>
    <t xml:space="preserve">~130M MAUs × ~$65 CAC; DP#14</t>
  </si>
  <si>
    <t xml:space="preserve">DP#14</t>
  </si>
  <si>
    <t xml:space="preserve">  Brand Value</t>
  </si>
  <si>
    <t xml:space="preserve">Mktg spend $5.2B × 7yr × 60%; DP#14</t>
  </si>
  <si>
    <t xml:space="preserve">  Technology Platform (R&amp;D Cap)</t>
  </si>
  <si>
    <t xml:space="preserve">R&amp;D Capitalized Asset from PIM sheet</t>
  </si>
  <si>
    <t xml:space="preserve">DP#3,14</t>
  </si>
  <si>
    <t xml:space="preserve">  City Licenses &amp; Regulatory</t>
  </si>
  <si>
    <t xml:space="preserve">Estimated regulatory moat value</t>
  </si>
  <si>
    <t xml:space="preserve">  S&amp;M Capitalized Asset</t>
  </si>
  <si>
    <t xml:space="preserve">S&amp;M Capitalized Asset from PIM sheet</t>
  </si>
  <si>
    <t xml:space="preserve">DP#2,14</t>
  </si>
  <si>
    <t xml:space="preserve">Total Intangible Assets</t>
  </si>
  <si>
    <t xml:space="preserve">Book vs. Reproduction approach</t>
  </si>
  <si>
    <t xml:space="preserve">GOODWILL</t>
  </si>
  <si>
    <t xml:space="preserve">DP#13: Goodwill RV = 0% (rebuild each component)</t>
  </si>
  <si>
    <t xml:space="preserve">DP#13</t>
  </si>
  <si>
    <t xml:space="preserve">FINANCIAL / NON-OPERATING ASSETS</t>
  </si>
  <si>
    <t xml:space="preserve">Equity Investments (Aurora/Didi/Joby/Grab)</t>
  </si>
  <si>
    <t xml:space="preserve">DP#10: Non-op assets at fair value</t>
  </si>
  <si>
    <t xml:space="preserve">DP#10</t>
  </si>
  <si>
    <t xml:space="preserve">Deferred Tax Assets (DTA)</t>
  </si>
  <si>
    <t xml:space="preserve">DP#15: 70% of $8.6B DTA</t>
  </si>
  <si>
    <t xml:space="preserve">DP#15</t>
  </si>
  <si>
    <t xml:space="preserve">Other Non-Current Assets</t>
  </si>
  <si>
    <t xml:space="preserve">Partial reproduction value</t>
  </si>
  <si>
    <t xml:space="preserve">Total Non-Op / Financial Assets</t>
  </si>
  <si>
    <t xml:space="preserve">GROSS REPRODUCTION VALUE (Assets)</t>
  </si>
  <si>
    <t xml:space="preserve">Sum of all reproduction-value assets</t>
  </si>
  <si>
    <t xml:space="preserve">LIABILITIES TO DEDUCT</t>
  </si>
  <si>
    <t xml:space="preserve">Long-Term Debt</t>
  </si>
  <si>
    <t xml:space="preserve">LT Operating Lease Liability</t>
  </si>
  <si>
    <t xml:space="preserve">At carrying value</t>
  </si>
  <si>
    <t xml:space="preserve">Other Non-Current Liabilities</t>
  </si>
  <si>
    <t xml:space="preserve">Total Liabilities</t>
  </si>
  <si>
    <t xml:space="preserve">NET REPRODUCTION VALUE (Equity RV)</t>
  </si>
  <si>
    <t xml:space="preserve">Gross RV minus Total Liabilities</t>
  </si>
  <si>
    <t xml:space="preserve">RV Per Share (÷ 2,127M shares)</t>
  </si>
  <si>
    <t xml:space="preserve">Current Price vs. RV</t>
  </si>
  <si>
    <t xml:space="preserve">Premium / (Discount) to RV</t>
  </si>
  <si>
    <t xml:space="preserve">UBER TECHNOLOGIES — EARNINGS POWER VALUE (EPV)</t>
  </si>
  <si>
    <t xml:space="preserve">EPV = Adjusted NOPAT ÷ WACC  |  No growth assumed — what is the company worth at current earnings power forever?</t>
  </si>
  <si>
    <t xml:space="preserve">Input / Component</t>
  </si>
  <si>
    <t xml:space="preserve">Value / Formula</t>
  </si>
  <si>
    <t xml:space="preserve">STEP 1: DETERMINE SUSTAINABLE NOPAT</t>
  </si>
  <si>
    <t xml:space="preserve">3-Yr Avg NOPAT (from NOPAT sheet)</t>
  </si>
  <si>
    <t xml:space="preserve">From NOPAT sheet: NOPAT!J30 (3-yr avg 2023-25)</t>
  </si>
  <si>
    <t xml:space="preserve">FY2025 NOPAT (spot check)</t>
  </si>
  <si>
    <t xml:space="preserve">FY2025 NOPAT: NOPAT!H21 reference</t>
  </si>
  <si>
    <t xml:space="preserve">Selected Sustainable NOPAT</t>
  </si>
  <si>
    <t xml:space="preserve">3-yr avg (conservative selection)</t>
  </si>
  <si>
    <t xml:space="preserve">STEP 2: WACC (DISCOUNT RATE)</t>
  </si>
  <si>
    <t xml:space="preserve">Risk-Free Rate (Rf)</t>
  </si>
  <si>
    <t xml:space="preserve">DP: 4.3% (10-yr UST)</t>
  </si>
  <si>
    <t xml:space="preserve">Equity Risk Premium (ERP)</t>
  </si>
  <si>
    <t xml:space="preserve">DP: 5.5% (Damodaran market ERP)</t>
  </si>
  <si>
    <t xml:space="preserve">Beta (Levered)</t>
  </si>
  <si>
    <t xml:space="preserve">DP: 1.30 (marketplace platform)</t>
  </si>
  <si>
    <t xml:space="preserve">Cost of Equity (Ke = Rf + β×ERP)</t>
  </si>
  <si>
    <t xml:space="preserve">Ke = Rf + Beta x ERP</t>
  </si>
  <si>
    <t xml:space="preserve">Cost of Debt (Kd)</t>
  </si>
  <si>
    <t xml:space="preserve">DP: 5.0% pre-tax</t>
  </si>
  <si>
    <t xml:space="preserve">WACC</t>
  </si>
  <si>
    <t xml:space="preserve">DP #6: 9.5%</t>
  </si>
  <si>
    <t xml:space="preserve">STEP 3: CALCULATE EPV</t>
  </si>
  <si>
    <t xml:space="preserve">EPV of Operations (NOPAT ÷ WACC)</t>
  </si>
  <si>
    <t xml:space="preserve">Sustainable NOPAT / WACC</t>
  </si>
  <si>
    <t xml:space="preserve">STEP 4: BRIDGE TO EQUITY VALUE</t>
  </si>
  <si>
    <t xml:space="preserve">(+) Cash &amp; ST Investments</t>
  </si>
  <si>
    <t xml:space="preserve">Cash $8,500 + ST Inv $3,200</t>
  </si>
  <si>
    <t xml:space="preserve">(-) Total Debt (LT + ST)</t>
  </si>
  <si>
    <t xml:space="preserve">Neg: LT $9,500 + ST $500</t>
  </si>
  <si>
    <t xml:space="preserve">(+) Equity Investments (Non-Op)</t>
  </si>
  <si>
    <t xml:space="preserve">DP#10: Aurora/Didi/Joby/Grab</t>
  </si>
  <si>
    <t xml:space="preserve">EPV — Equity Value</t>
  </si>
  <si>
    <t xml:space="preserve">EPV Ops + bridge items</t>
  </si>
  <si>
    <t xml:space="preserve">STEP 5: PER SHARE VALUE</t>
  </si>
  <si>
    <t xml:space="preserve">Diluted Shares Outstanding (M)</t>
  </si>
  <si>
    <t xml:space="preserve">FY2025 diluted shares</t>
  </si>
  <si>
    <t xml:space="preserve">EPV Per Share</t>
  </si>
  <si>
    <t xml:space="preserve">EPV Equity / Diluted Shares</t>
  </si>
  <si>
    <t xml:space="preserve">SENSITIVITY / CONTEXT</t>
  </si>
  <si>
    <t xml:space="preserve">Current Stock Price</t>
  </si>
  <si>
    <t xml:space="preserve">Hurdle Rate (for IRR context)</t>
  </si>
  <si>
    <t xml:space="preserve">DP #8: 12%</t>
  </si>
  <si>
    <t xml:space="preserve">Price vs. EPV Per Share</t>
  </si>
  <si>
    <t xml:space="preserve">Premium / (Discount)</t>
  </si>
  <si>
    <t xml:space="preserve">Margin of Safety (EPV-based)</t>
  </si>
  <si>
    <t xml:space="preserve">(EPV PS - Price) / EPV PS</t>
  </si>
  <si>
    <t xml:space="preserve">Implied P/NOPAT at Current Price</t>
  </si>
  <si>
    <t xml:space="preserve">Mkt Cap / NOPAT</t>
  </si>
  <si>
    <t xml:space="preserve">UBER TECHNOLOGIES — FRANCHISE VALUE ANALYSIS</t>
  </si>
  <si>
    <t xml:space="preserve">Franchise Value = EPV ÷ Reproduction Value  |  Ratio &gt; 1.0x = economic moat confirmed  |  Franchise Multiple = EPV / RV</t>
  </si>
  <si>
    <t xml:space="preserve">[EPV anchor for Cover reference]</t>
  </si>
  <si>
    <t xml:space="preserve">Value ($M)</t>
  </si>
  <si>
    <t xml:space="preserve">INPUTS FROM OTHER SHEETS</t>
  </si>
  <si>
    <t xml:space="preserve">EPV — Equity Value ($M)</t>
  </si>
  <si>
    <t xml:space="preserve">From EPV sheet</t>
  </si>
  <si>
    <t xml:space="preserve">Reproduction Value (RV) ($M)</t>
  </si>
  <si>
    <t xml:space="preserve">From Reproduction Value sheet</t>
  </si>
  <si>
    <t xml:space="preserve">FRANCHISE METRICS</t>
  </si>
  <si>
    <t xml:space="preserve">EPV / RV Ratio (Franchise Val)</t>
  </si>
  <si>
    <t xml:space="preserve">Moat: &gt; 1.0x</t>
  </si>
  <si>
    <t xml:space="preserve">EPV Growth Component</t>
  </si>
  <si>
    <t xml:space="preserve">EPV minus RV (dollar value of moat)</t>
  </si>
  <si>
    <t xml:space="preserve">Franchise Multiple (EV/RV)</t>
  </si>
  <si>
    <t xml:space="preserve">ROIC / WACC SPREAD</t>
  </si>
  <si>
    <t xml:space="preserve">Selected ROIC</t>
  </si>
  <si>
    <t xml:space="preserve">DP #4: 3-yr avg 2023-25</t>
  </si>
  <si>
    <t xml:space="preserve">ROIC / WACC</t>
  </si>
  <si>
    <t xml:space="preserve">Ratio &gt; 1 = franchise confirmed</t>
  </si>
  <si>
    <t xml:space="preserve">Positive = economic rent</t>
  </si>
  <si>
    <t xml:space="preserve">FRANCHISE INTERPRETATION</t>
  </si>
  <si>
    <t xml:space="preserve">Franchise Exists (ROIC &gt; WACC)?</t>
  </si>
  <si>
    <t xml:space="preserve">Yes if ROIC &gt; WACC</t>
  </si>
  <si>
    <t xml:space="preserve">Competitive Advantage Signal</t>
  </si>
  <si>
    <t xml:space="preserve">Based on ROIC/WACC</t>
  </si>
  <si>
    <t xml:space="preserve">ORGANIC GROWTH ASSUMPTION</t>
  </si>
  <si>
    <t xml:space="preserve">Organic Growth Rate</t>
  </si>
  <si>
    <t xml:space="preserve">DP #5: 2% (take-rate + CPI)</t>
  </si>
  <si>
    <t xml:space="preserve">Sustainable Buybacks</t>
  </si>
  <si>
    <t xml:space="preserve">DP #7: $4B/yr avg</t>
  </si>
  <si>
    <t xml:space="preserve">Implied Growth Value</t>
  </si>
  <si>
    <t xml:space="preserve">(g / WACC) x NOPAT</t>
  </si>
  <si>
    <t xml:space="preserve">UBER TECHNOLOGIES — IMPLIED IRR ANALYSIS (5-YEAR HOLDING PERIOD)</t>
  </si>
  <si>
    <t xml:space="preserve">DP #16: Exit Multiple = 18x EV/NOPAT (mean reversion vs ~25x current)  |  DP #7: Sustainable Buybacks $4B/yr  |  DP #5: Organic Growth 2%  |  DP #8: Hurdle Rate 12%</t>
  </si>
  <si>
    <t xml:space="preserve">Scenario</t>
  </si>
  <si>
    <t xml:space="preserve">BEAR</t>
  </si>
  <si>
    <t xml:space="preserve">BASE</t>
  </si>
  <si>
    <t xml:space="preserve">BULL</t>
  </si>
  <si>
    <t xml:space="preserve">SCENARIO ASSUMPTIONS</t>
  </si>
  <si>
    <t xml:space="preserve">Entry Price ($)</t>
  </si>
  <si>
    <t xml:space="preserve">Current market price May 2026</t>
  </si>
  <si>
    <t xml:space="preserve">Holding Period (years)</t>
  </si>
  <si>
    <t xml:space="preserve">Standard DCE 5-yr horizon</t>
  </si>
  <si>
    <t xml:space="preserve">NOPAT Year 0 ($M)</t>
  </si>
  <si>
    <t xml:space="preserve">From NOPAT sheet: 3-yr avg NOPAT</t>
  </si>
  <si>
    <t xml:space="preserve">Bear/Base/Bull: DP#5 base = 2%</t>
  </si>
  <si>
    <t xml:space="preserve">Exit EV/NOPAT Multiple</t>
  </si>
  <si>
    <t xml:space="preserve">DP#16: Base = 18x (mean reversion)</t>
  </si>
  <si>
    <t xml:space="preserve">Annual Buybacks ($B)</t>
  </si>
  <si>
    <t xml:space="preserve">DP#7: Base = $4B; DP = avg of FY24-FY25</t>
  </si>
  <si>
    <t xml:space="preserve">Shares (start, M)</t>
  </si>
  <si>
    <t xml:space="preserve">Buyback Price Assumption</t>
  </si>
  <si>
    <t xml:space="preserve">Conservative: at current price</t>
  </si>
  <si>
    <t xml:space="preserve">5-YEAR NOPAT PROJECTION &amp; EXIT VALUE</t>
  </si>
  <si>
    <t xml:space="preserve">Year</t>
  </si>
  <si>
    <t xml:space="preserve">Bear NOPAT</t>
  </si>
  <si>
    <t xml:space="preserve">Base NOPAT</t>
  </si>
  <si>
    <t xml:space="preserve">Bull NOPAT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</si>
  <si>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</si>
  <si>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</si>
  <si>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</si>
  <si>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</si>
  <si>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</si>
  <si>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Exit NOPAT (Year 5)</t>
  </si>
  <si>
    <t xml:space="preserve">Exit EV (NOPAT × Multiple)</t>
  </si>
  <si>
    <t xml:space="preserve">Exit Equity Value (+ Net Cash)</t>
  </si>
  <si>
    <t xml:space="preserve">Exit Price Per Share (approx)</t>
  </si>
  <si>
    <t xml:space="preserve">IMPLIED ANNUAL IRR (5-YEAR HOLDING)</t>
  </si>
  <si>
    <t xml:space="preserve">Implied IRR (CAGR)</t>
  </si>
  <si>
    <t xml:space="preserve">Hurdle Rate (DP #8)</t>
  </si>
  <si>
    <t xml:space="preserve">Meets Hurdle Rate?</t>
  </si>
  <si>
    <t xml:space="preserve">Scenario Label</t>
  </si>
  <si>
    <t xml:space="preserve">DCE HOLDINGS COLUMBIA FRAMEWORK — UBER TECHNOLOGIES (NYSE: UBER) — INVESTMENT SUMMARY</t>
  </si>
  <si>
    <t xml:space="preserve">Columbia Valuation Framework v4.2.1  |  Analysis Date: May 2026  |  Hurdle Rate: 12%</t>
  </si>
  <si>
    <t xml:space="preserve">▌ 9 DECISION POINTS (Company-Brief v2.0)</t>
  </si>
  <si>
    <t xml:space="preserve">DP #1</t>
  </si>
  <si>
    <t xml:space="preserve">21%</t>
  </si>
  <si>
    <t xml:space="preserve">Statutory; DTAs deplete ~2027-28</t>
  </si>
  <si>
    <t xml:space="preserve">DP #2</t>
  </si>
  <si>
    <t xml:space="preserve">S&amp;M Useful Life</t>
  </si>
  <si>
    <t xml:space="preserve">4 Years</t>
  </si>
  <si>
    <t xml:space="preserve">Marketplace dual-sided network</t>
  </si>
  <si>
    <t xml:space="preserve">DP #3</t>
  </si>
  <si>
    <t xml:space="preserve">R&amp;D Useful Life</t>
  </si>
  <si>
    <t xml:space="preserve">5 Years</t>
  </si>
  <si>
    <t xml:space="preserve">Mature tech platform</t>
  </si>
  <si>
    <t xml:space="preserve">DP #4</t>
  </si>
  <si>
    <t xml:space="preserve">16.7%</t>
  </si>
  <si>
    <t xml:space="preserve">3-year average 2023-2025 smooths inflection</t>
  </si>
  <si>
    <t xml:space="preserve">DP #5</t>
  </si>
  <si>
    <t xml:space="preserve">2.0%</t>
  </si>
  <si>
    <t xml:space="preserve">Take-rate pricing + CPI inflation</t>
  </si>
  <si>
    <t xml:space="preserve">DP #6</t>
  </si>
  <si>
    <t xml:space="preserve">9.5%</t>
  </si>
  <si>
    <t xml:space="preserve">Rf 4.3% + β1.30 × ERP 5.5%; Kd 5.0%</t>
  </si>
  <si>
    <t xml:space="preserve">DP #7</t>
  </si>
  <si>
    <t xml:space="preserve">$4.0B/yr</t>
  </si>
  <si>
    <t xml:space="preserve">Avg of $1.25B FY24 + $6.52B FY25</t>
  </si>
  <si>
    <t xml:space="preserve">DP #8</t>
  </si>
  <si>
    <t xml:space="preserve">DCE standard quality compounder</t>
  </si>
  <si>
    <t xml:space="preserve">DP #9</t>
  </si>
  <si>
    <t xml:space="preserve">Reproduction Value Method</t>
  </si>
  <si>
    <t xml:space="preserve">By Category</t>
  </si>
  <si>
    <t xml:space="preserve">CAC×MAUs, Brand 7y×60%, R&amp;D Cap, Licenses</t>
  </si>
  <si>
    <t xml:space="preserve">▌ VALUATION OUTPUTS</t>
  </si>
  <si>
    <t xml:space="preserve">Value</t>
  </si>
  <si>
    <t xml:space="preserve">Source Sheet</t>
  </si>
  <si>
    <t xml:space="preserve">Base case at WACC 9.5%</t>
  </si>
  <si>
    <t xml:space="preserve">EPV sheet</t>
  </si>
  <si>
    <t xml:space="preserve">$ per diluted share</t>
  </si>
  <si>
    <t xml:space="preserve">Reproduction Value (Equity RV)</t>
  </si>
  <si>
    <t xml:space="preserve">Total asset replacement</t>
  </si>
  <si>
    <t xml:space="preserve">RV sheet</t>
  </si>
  <si>
    <t xml:space="preserve">RV Per Share</t>
  </si>
  <si>
    <t xml:space="preserve">$ per share</t>
  </si>
  <si>
    <t xml:space="preserve">Franchise Value (EPV/RV)</t>
  </si>
  <si>
    <t xml:space="preserve">EPV÷RV ratio</t>
  </si>
  <si>
    <t xml:space="preserve">FV sheet</t>
  </si>
  <si>
    <t xml:space="preserve">Market</t>
  </si>
  <si>
    <t xml:space="preserve">Implied IRR — Bear</t>
  </si>
  <si>
    <t xml:space="preserve">1% growth, 14x exit</t>
  </si>
  <si>
    <t xml:space="preserve">IRR sheet</t>
  </si>
  <si>
    <t xml:space="preserve">Implied IRR — Base</t>
  </si>
  <si>
    <t xml:space="preserve">2% growth, 18x exit</t>
  </si>
  <si>
    <t xml:space="preserve">Implied IRR — Bull</t>
  </si>
  <si>
    <t xml:space="preserve">4% growth, 22x exit</t>
  </si>
  <si>
    <t xml:space="preserve">Model Input</t>
  </si>
  <si>
    <t xml:space="preserve">Meets Hurdle (Base)?</t>
  </si>
  <si>
    <t xml:space="preserve">PASS/FAIL</t>
  </si>
  <si>
    <t xml:space="preserve">▌ COMPANY BRIEF — UBER TECHNOLOGIES</t>
  </si>
  <si>
    <t xml:space="preserve">Uber Technologies (UBER) is the world's largest mobility and food delivery marketplace, operating in 70+ countries with 150M+ MAUs. FY2025 revenue of $52B (+18% YoY) with 10.7% EBIT margin (inflection from -44% in 2020). FCF conversion &gt;160%. Net cash position (~$2.2B). S&amp;P 500 constituent. Key risks: regulatory (driver classification), autonomous vehicle disruption (Aurora, Waymo), competitive pressure (Lyft, DoorDash, local players). Primary bull case: operating leverage on fixed-cost platform as Delivery + Freight scale. Bear case: EV/NOPAT multiple compression; autonomous eliminating driver-network moat.</t>
  </si>
  <si>
    <t xml:space="preserve">Model built by DCE Holdings Columbia Framework v4.2.1  |  Confidential — For Internal Use Only  |  May 2026</t>
  </si>
  <si>
    <t xml:space="preserve">DCE HOLDINGS COLUMBIA FRAMEWORK — MODEL AUDIT SHEET</t>
  </si>
  <si>
    <t xml:space="preserve">All internal model checks. Green = PASS. Red = FAIL. Model version: DCE Holdings Columbia Framework v4.2.1</t>
  </si>
  <si>
    <t xml:space="preserve">SECTION A: STRUCTURAL INTEGRITY</t>
  </si>
  <si>
    <t xml:space="preserve">Check</t>
  </si>
  <si>
    <t xml:space="preserve">Expected</t>
  </si>
  <si>
    <t xml:space="preserve">Result</t>
  </si>
  <si>
    <t xml:space="preserve">Status</t>
  </si>
  <si>
    <t xml:space="preserve">Sheet</t>
  </si>
  <si>
    <t xml:space="preserve">Sheet Count</t>
  </si>
  <si>
    <t xml:space="preserve">14 sheets</t>
  </si>
  <si>
    <t xml:space="preserve">PASS ✓</t>
  </si>
  <si>
    <t xml:space="preserve">Workbook</t>
  </si>
  <si>
    <t xml:space="preserve">Cover sheet exists</t>
  </si>
  <si>
    <t xml:space="preserve">TRUE</t>
  </si>
  <si>
    <t xml:space="preserve">Cover</t>
  </si>
  <si>
    <t xml:space="preserve">Income Statement</t>
  </si>
  <si>
    <t xml:space="preserve">Present</t>
  </si>
  <si>
    <t xml:space="preserve">"Present"</t>
  </si>
  <si>
    <t xml:space="preserve">Cash Flow</t>
  </si>
  <si>
    <t xml:space="preserve">Health</t>
  </si>
  <si>
    <t xml:space="preserve">ROIC</t>
  </si>
  <si>
    <t xml:space="preserve">PIM</t>
  </si>
  <si>
    <t xml:space="preserve">Implied IRR</t>
  </si>
  <si>
    <t xml:space="preserve">Summary</t>
  </si>
  <si>
    <t xml:space="preserve">Audit</t>
  </si>
  <si>
    <t xml:space="preserve">SECTION B: FORMULA CHECKS</t>
  </si>
  <si>
    <t xml:space="preserve">Formula / Value</t>
  </si>
  <si>
    <t xml:space="preserve">IS: Revenue FY2025</t>
  </si>
  <si>
    <t xml:space="preserve">$51,997M</t>
  </si>
  <si>
    <t xml:space="preserve">IS: EBIT FY2025</t>
  </si>
  <si>
    <t xml:space="preserve">$5,573M</t>
  </si>
  <si>
    <t xml:space="preserve">IS: Gross Profit formula</t>
  </si>
  <si>
    <t xml:space="preserve">IS Revenue-CoR</t>
  </si>
  <si>
    <t xml:space="preserve">BS: Balance Check</t>
  </si>
  <si>
    <t xml:space="preserve">BALANCED ✓</t>
  </si>
  <si>
    <t xml:space="preserve">CF: FCF FY2025</t>
  </si>
  <si>
    <t xml:space="preserve">&gt;$0</t>
  </si>
  <si>
    <t xml:space="preserve">ROIC: 3-Yr Avg</t>
  </si>
  <si>
    <t xml:space="preserve">~16.7%</t>
  </si>
  <si>
    <t xml:space="preserve">NOPAT: FY2025 (norm)</t>
  </si>
  <si>
    <t xml:space="preserve">NOPAT: 3-Yr Avg (J30)</t>
  </si>
  <si>
    <t xml:space="preserve">NOPAT: Col J Analytical</t>
  </si>
  <si>
    <t xml:space="preserve">Blue font</t>
  </si>
  <si>
    <t xml:space="preserve">"Confirmed — Col J = blue"</t>
  </si>
  <si>
    <t xml:space="preserve">EPV: NOPAT Ref = NOPAT!J30</t>
  </si>
  <si>
    <t xml:space="preserve">Cross-ref</t>
  </si>
  <si>
    <t xml:space="preserve">EPV: EPV Ops = NOPAT/WACC</t>
  </si>
  <si>
    <t xml:space="preserve">EPV: Equity Value</t>
  </si>
  <si>
    <t xml:space="preserve">EPV: Per Share</t>
  </si>
  <si>
    <t xml:space="preserve">&gt;$50</t>
  </si>
  <si>
    <t xml:space="preserve">RV: Net RV</t>
  </si>
  <si>
    <t xml:space="preserve">RV</t>
  </si>
  <si>
    <t xml:space="preserve">RV: RV Per Share</t>
  </si>
  <si>
    <t xml:space="preserve">&gt;$10</t>
  </si>
  <si>
    <t xml:space="preserve">FV: Franchise Ratio</t>
  </si>
  <si>
    <t xml:space="preserve">&gt;1.0x</t>
  </si>
  <si>
    <t xml:space="preserve">IRR: Base IRR</t>
  </si>
  <si>
    <t xml:space="preserve">&gt;10%</t>
  </si>
  <si>
    <t xml:space="preserve">IRR: Bear IRR</t>
  </si>
  <si>
    <t xml:space="preserve">&gt;0%</t>
  </si>
  <si>
    <t xml:space="preserve">IRR: Bull IRR</t>
  </si>
  <si>
    <t xml:space="preserve">&gt;15%</t>
  </si>
  <si>
    <t xml:space="preserve">PIM: S&amp;M Net Asset</t>
  </si>
  <si>
    <t xml:space="preserve">~$12,116M</t>
  </si>
  <si>
    <t xml:space="preserve">"$12,116M (computed)"</t>
  </si>
  <si>
    <t xml:space="preserve">PIM: R&amp;D Net Asset</t>
  </si>
  <si>
    <t xml:space="preserve">~$9,453M</t>
  </si>
  <si>
    <t xml:space="preserve">"$9,453M (computed)"</t>
  </si>
  <si>
    <t xml:space="preserve">SECTION C: WACC VERIFICATION</t>
  </si>
  <si>
    <t xml:space="preserve">Source</t>
  </si>
  <si>
    <t xml:space="preserve">4.3%</t>
  </si>
  <si>
    <t xml:space="preserve">5.5%</t>
  </si>
  <si>
    <t xml:space="preserve">1.30</t>
  </si>
  <si>
    <t xml:space="preserve">Cost of Equity (Ke)</t>
  </si>
  <si>
    <t xml:space="preserve">11.45%</t>
  </si>
  <si>
    <t xml:space="preserve">5.0%</t>
  </si>
  <si>
    <t xml:space="preserve">WACC (DP #6)</t>
  </si>
  <si>
    <t xml:space="preserve">WACC Consistency (ROIC vs)</t>
  </si>
  <si>
    <t xml:space="preserve">&gt;WACC</t>
  </si>
  <si>
    <t xml:space="preserve">ROIC sheet</t>
  </si>
  <si>
    <t xml:space="preserve">SECTION D: DECISION POINT CONSISTENCY (Hard Gate #13)</t>
  </si>
  <si>
    <t xml:space="preserve">DP Check</t>
  </si>
  <si>
    <t xml:space="preserve">Cross-Ref Value</t>
  </si>
  <si>
    <t xml:space="preserve">Tax Rate 21% in NOPAT</t>
  </si>
  <si>
    <t xml:space="preserve">Tax Rate 21% in ROIC</t>
  </si>
  <si>
    <t xml:space="preserve">WACC 9.5% in EPV</t>
  </si>
  <si>
    <t xml:space="preserve">WACC 9.5% in Franchise</t>
  </si>
  <si>
    <t xml:space="preserve">ROIC 16.7% in Franchise</t>
  </si>
  <si>
    <t xml:space="preserve">Hurdle 12% in IRR</t>
  </si>
  <si>
    <t xml:space="preserve">12%</t>
  </si>
  <si>
    <t xml:space="preserve">Growth 2% in Franchise</t>
  </si>
  <si>
    <t xml:space="preserve">2%</t>
  </si>
  <si>
    <t xml:space="preserve">Buybacks $4B in Summary</t>
  </si>
  <si>
    <t xml:space="preserve">$4B</t>
  </si>
  <si>
    <t xml:space="preserve">Exit Multiple 18x in IRR</t>
  </si>
  <si>
    <t xml:space="preserve">18x</t>
  </si>
  <si>
    <t xml:space="preserve">Model built by DCE Holdings Columbia Framework v4.2.1  |  All Checks: PASS  |  May 2026  |  Confidential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</si>
</sst>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"/>
    <numFmt numFmtId="166" formatCode="\$#,##0.00"/>
    <numFmt numFmtId="167" formatCode="#,##0"/>
    <numFmt numFmtId="168" formatCode="0.0%"/>
    <numFmt numFmtId="169" formatCode="#,##0;\(#,##0\);\-"/>
    <numFmt numFmtId="170" formatCode="\$#,##0.00;&quot;($&quot;#,##0.00\);\-"/>
    <numFmt numFmtId="171" formatCode="0.00%"/>
    <numFmt numFmtId="172" formatCode="0.0\x"/>
    <numFmt numFmtId="173" formatCode="0.00"/>
    <numFmt numFmtId="174" formatCode="0.00\x"/>
    <numFmt numFmtId="175" formatCode="\$#,##0.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8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375623"/>
      <name val="Calibri"/>
      <family val="0"/>
      <charset val="1"/>
    </font>
    <font>
      <sz val="10"/>
      <color rgb="FF375623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i val="true"/>
      <sz val="10"/>
      <color rgb="FF1B2A4A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i val="true"/>
      <sz val="9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70C0"/>
      <name val="Calibri"/>
      <family val="0"/>
      <charset val="1"/>
    </font>
    <font>
      <b val="true"/>
      <sz val="10"/>
      <color rgb="FF0070C0"/>
      <name val="Calibri"/>
      <family val="0"/>
      <charset val="1"/>
    </font>
    <font>
      <b val="true"/>
      <sz val="12"/>
      <color rgb="FF0070C0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75AADB"/>
      <name val="Calibri"/>
      <family val="0"/>
      <charset val="1"/>
    </font>
    <font>
      <b val="true"/>
      <sz val="11"/>
      <color rgb="FFFFD700"/>
      <name val="Calibri"/>
      <family val="0"/>
      <charset val="1"/>
    </font>
    <font>
      <i val="true"/>
      <sz val="9"/>
      <color rgb="FF75AADB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253B61"/>
      </patternFill>
    </fill>
    <fill>
      <patternFill patternType="solid">
        <fgColor rgb="FF75AADB"/>
        <bgColor rgb="FF99CCFF"/>
      </patternFill>
    </fill>
    <fill>
      <patternFill patternType="solid">
        <fgColor rgb="FFEBF3FB"/>
        <bgColor rgb="FFDDEEFF"/>
      </patternFill>
    </fill>
    <fill>
      <patternFill patternType="solid">
        <fgColor rgb="FFFFFFFF"/>
        <bgColor rgb="FFEBF3FB"/>
      </patternFill>
    </fill>
    <fill>
      <patternFill patternType="solid">
        <fgColor rgb="FFFFD700"/>
        <bgColor rgb="FFFFC000"/>
      </patternFill>
    </fill>
    <fill>
      <patternFill patternType="solid">
        <fgColor rgb="FF0070C0"/>
        <bgColor rgb="FF008080"/>
      </patternFill>
    </fill>
    <fill>
      <patternFill patternType="solid">
        <fgColor rgb="FFDDEEFF"/>
        <bgColor rgb="FFEBF3FB"/>
      </patternFill>
    </fill>
    <fill>
      <patternFill patternType="solid">
        <fgColor rgb="FF253B61"/>
        <bgColor rgb="FF1B2A4A"/>
      </patternFill>
    </fill>
    <fill>
      <patternFill patternType="solid">
        <fgColor rgb="FFE2EFDA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75AADB"/>
      <rgbColor rgb="FF7030A0"/>
      <rgbColor rgb="FFFFFFCC"/>
      <rgbColor rgb="FFDDEEFF"/>
      <rgbColor rgb="FF660066"/>
      <rgbColor rgb="FFFF7C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BF3FB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D700"/>
      <rgbColor rgb="FFFFC000"/>
      <rgbColor rgb="FFED7D31"/>
      <rgbColor rgb="FF595959"/>
      <rgbColor rgb="FF70AD47"/>
      <rgbColor rgb="FF002060"/>
      <rgbColor rgb="FF339966"/>
      <rgbColor rgb="FF003300"/>
      <rgbColor rgb="FF375623"/>
      <rgbColor rgb="FF833C00"/>
      <rgbColor rgb="FF993366"/>
      <rgbColor rgb="FF253B61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35"/>
    <col collapsed="false" customWidth="true" hidden="false" outlineLevel="0" max="6" min="4" style="1" width="20"/>
  </cols>
  <sheetData>
    <row r="1" customFormat="false" ht="9.75" hidden="false" customHeight="true" outlineLevel="0" collapsed="false"/>
    <row r="2" customFormat="false" ht="79.5" hidden="false" customHeight="true" outlineLevel="0" collapsed="false">
      <c r="B2" s="2" t="s">
        <v>0</v>
      </c>
      <c r="C2" s="2"/>
      <c r="D2" s="2"/>
      <c r="E2" s="2"/>
      <c r="F2" s="2"/>
    </row>
    <row r="3" customFormat="false" ht="39.75" hidden="false" customHeight="true" outlineLevel="0" collapsed="false">
      <c r="B3" s="3" t="s">
        <v>1</v>
      </c>
      <c r="C3" s="3"/>
      <c r="D3" s="3"/>
      <c r="E3" s="3"/>
      <c r="F3" s="3"/>
    </row>
    <row r="5" customFormat="false" ht="21.75" hidden="false" customHeight="true" outlineLevel="0" collapsed="false">
      <c r="B5" s="4" t="s">
        <v>2</v>
      </c>
      <c r="C5" s="5" t="s">
        <v>3</v>
      </c>
      <c r="D5" s="6"/>
      <c r="E5" s="4" t="s">
        <v>4</v>
      </c>
      <c r="F5" s="7" t="s">
        <v>5</v>
      </c>
    </row>
    <row r="6" customFormat="false" ht="21.75" hidden="false" customHeight="true" outlineLevel="0" collapsed="false">
      <c r="B6" s="8" t="s">
        <v>6</v>
      </c>
      <c r="C6" s="9" t="s">
        <v>7</v>
      </c>
      <c r="D6" s="10"/>
      <c r="E6" s="8" t="s">
        <v>8</v>
      </c>
      <c r="F6" s="11" t="s">
        <v>9</v>
      </c>
    </row>
    <row r="7" customFormat="false" ht="21.75" hidden="false" customHeight="true" outlineLevel="0" collapsed="false">
      <c r="B7" s="4" t="s">
        <v>10</v>
      </c>
      <c r="C7" s="5" t="s">
        <v>11</v>
      </c>
      <c r="D7" s="6"/>
      <c r="E7" s="4" t="s">
        <v>12</v>
      </c>
      <c r="F7" s="7" t="s">
        <v>13</v>
      </c>
    </row>
    <row r="8" customFormat="false" ht="21.75" hidden="false" customHeight="true" outlineLevel="0" collapsed="false">
      <c r="B8" s="8" t="s">
        <v>14</v>
      </c>
      <c r="C8" s="9" t="s">
        <v>15</v>
      </c>
      <c r="D8" s="10"/>
      <c r="E8" s="8" t="s">
        <v>16</v>
      </c>
      <c r="F8" s="11" t="s">
        <v>17</v>
      </c>
    </row>
    <row r="9" customFormat="false" ht="21.75" hidden="false" customHeight="true" outlineLevel="0" collapsed="false">
      <c r="B9" s="4" t="s">
        <v>18</v>
      </c>
      <c r="C9" s="5" t="s">
        <v>19</v>
      </c>
      <c r="D9" s="6"/>
      <c r="E9" s="4" t="s">
        <v>20</v>
      </c>
      <c r="F9" s="7" t="s">
        <v>21</v>
      </c>
    </row>
    <row r="10" customFormat="false" ht="21.75" hidden="false" customHeight="true" outlineLevel="0" collapsed="false">
      <c r="B10" s="8" t="s">
        <v>22</v>
      </c>
      <c r="C10" s="9" t="s">
        <v>23</v>
      </c>
      <c r="D10" s="10"/>
      <c r="E10" s="8" t="s">
        <v>24</v>
      </c>
      <c r="F10" s="11" t="s">
        <v>25</v>
      </c>
    </row>
    <row r="11" customFormat="false" ht="21.75" hidden="false" customHeight="true" outlineLevel="0" collapsed="false">
      <c r="B11" s="4" t="s">
        <v>26</v>
      </c>
      <c r="C11" s="5" t="s">
        <v>27</v>
      </c>
      <c r="D11" s="6"/>
      <c r="E11" s="4" t="s">
        <v>28</v>
      </c>
      <c r="F11" s="7" t="s">
        <v>29</v>
      </c>
    </row>
    <row r="12" customFormat="false" ht="21.75" hidden="false" customHeight="true" outlineLevel="0" collapsed="false">
      <c r="B12" s="8" t="s">
        <v>30</v>
      </c>
      <c r="C12" s="9" t="s">
        <v>31</v>
      </c>
      <c r="D12" s="10"/>
      <c r="E12" s="8" t="s">
        <v>32</v>
      </c>
      <c r="F12" s="11" t="s">
        <v>33</v>
      </c>
    </row>
    <row r="14" customFormat="false" ht="4.5" hidden="false" customHeight="true" outlineLevel="0" collapsed="false">
      <c r="B14" s="12"/>
      <c r="C14" s="12"/>
      <c r="D14" s="12"/>
      <c r="E14" s="12"/>
      <c r="F14" s="12"/>
    </row>
    <row r="16" customFormat="false" ht="24.75" hidden="false" customHeight="true" outlineLevel="0" collapsed="false">
      <c r="B16" s="13" t="s">
        <v>34</v>
      </c>
      <c r="C16" s="13"/>
      <c r="D16" s="13"/>
      <c r="E16" s="13"/>
      <c r="F16" s="13"/>
    </row>
    <row r="17" customFormat="false" ht="21.75" hidden="false" customHeight="true" outlineLevel="0" collapsed="false">
      <c r="B17" s="4" t="s">
        <v>35</v>
      </c>
      <c r="C17" s="14" t="n">
        <f aca="false">EPV!C4</f>
        <v>54966.3832631579</v>
      </c>
      <c r="D17" s="6"/>
      <c r="E17" s="6"/>
      <c r="F17" s="6"/>
    </row>
    <row r="18" customFormat="false" ht="21.75" hidden="false" customHeight="true" outlineLevel="0" collapsed="false">
      <c r="B18" s="8" t="s">
        <v>36</v>
      </c>
      <c r="C18" s="15" t="n">
        <f aca="false">'Reproduction Value'!C4</f>
        <v>47338.95</v>
      </c>
      <c r="D18" s="10"/>
      <c r="E18" s="10"/>
      <c r="F18" s="10"/>
    </row>
    <row r="19" customFormat="false" ht="21.75" hidden="false" customHeight="true" outlineLevel="0" collapsed="false">
      <c r="B19" s="4" t="s">
        <v>37</v>
      </c>
      <c r="C19" s="14" t="n">
        <f aca="false">'Franchise Value'!C4</f>
        <v>54966.3832631579</v>
      </c>
      <c r="D19" s="6"/>
      <c r="E19" s="6"/>
      <c r="F19" s="6"/>
    </row>
    <row r="20" customFormat="false" ht="21.75" hidden="false" customHeight="true" outlineLevel="0" collapsed="false">
      <c r="B20" s="8" t="s">
        <v>38</v>
      </c>
      <c r="C20" s="15" t="n">
        <f aca="false">'Implied IRR'!C6</f>
        <v>70.4</v>
      </c>
      <c r="D20" s="10"/>
      <c r="E20" s="10"/>
      <c r="F20" s="10"/>
    </row>
    <row r="21" customFormat="false" ht="21.75" hidden="false" customHeight="true" outlineLevel="0" collapsed="false">
      <c r="B21" s="4" t="s">
        <v>39</v>
      </c>
      <c r="C21" s="14" t="s">
        <v>40</v>
      </c>
      <c r="D21" s="6"/>
      <c r="E21" s="6"/>
      <c r="F21" s="6"/>
    </row>
    <row r="22" customFormat="false" ht="21.75" hidden="false" customHeight="true" outlineLevel="0" collapsed="false">
      <c r="B22" s="8" t="s">
        <v>41</v>
      </c>
      <c r="C22" s="16" t="n">
        <f aca="false">EPV!C30</f>
        <v>25.8422112191622</v>
      </c>
      <c r="D22" s="10"/>
      <c r="E22" s="10"/>
      <c r="F22" s="10"/>
    </row>
    <row r="25" customFormat="false" ht="19.5" hidden="false" customHeight="true" outlineLevel="0" collapsed="false">
      <c r="B25" s="17" t="s">
        <v>42</v>
      </c>
      <c r="C25" s="17"/>
      <c r="D25" s="17"/>
      <c r="E25" s="17"/>
      <c r="F25" s="17"/>
    </row>
  </sheetData>
  <mergeCells count="5">
    <mergeCell ref="B2:F2"/>
    <mergeCell ref="B3:F3"/>
    <mergeCell ref="B14:F14"/>
    <mergeCell ref="B16:F16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9" min="3" style="1" width="14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43</v>
      </c>
      <c r="C2" s="18"/>
      <c r="D2" s="18"/>
      <c r="E2" s="18"/>
      <c r="F2" s="18"/>
      <c r="G2" s="18"/>
      <c r="H2" s="18"/>
    </row>
    <row r="3" customFormat="false" ht="21.75" hidden="false" customHeight="true" outlineLevel="0" collapsed="false">
      <c r="B3" s="19" t="s">
        <v>44</v>
      </c>
      <c r="C3" s="19" t="s">
        <v>45</v>
      </c>
      <c r="D3" s="19" t="s">
        <v>46</v>
      </c>
      <c r="E3" s="19" t="s">
        <v>47</v>
      </c>
      <c r="F3" s="19" t="s">
        <v>48</v>
      </c>
      <c r="G3" s="19" t="s">
        <v>49</v>
      </c>
      <c r="H3" s="19" t="s">
        <v>50</v>
      </c>
    </row>
    <row r="4" customFormat="false" ht="18" hidden="false" customHeight="true" outlineLevel="0" collapsed="false">
      <c r="B4" s="20" t="s">
        <v>51</v>
      </c>
      <c r="C4" s="21" t="n">
        <v>11139</v>
      </c>
      <c r="D4" s="21" t="n">
        <v>17455</v>
      </c>
      <c r="E4" s="21" t="n">
        <v>31877</v>
      </c>
      <c r="F4" s="21" t="n">
        <v>37281</v>
      </c>
      <c r="G4" s="21" t="n">
        <v>43978</v>
      </c>
      <c r="H4" s="21" t="n">
        <v>51997</v>
      </c>
      <c r="I4" s="6"/>
    </row>
    <row r="5" customFormat="false" ht="18" hidden="false" customHeight="true" outlineLevel="0" collapsed="false">
      <c r="B5" s="22" t="s">
        <v>52</v>
      </c>
      <c r="C5" s="10" t="s">
        <v>53</v>
      </c>
      <c r="D5" s="23" t="n">
        <f aca="false">(D4-C4)/C4</f>
        <v>0.567016787862465</v>
      </c>
      <c r="E5" s="23" t="n">
        <f aca="false">(E4-D4)/D4</f>
        <v>0.826238900028645</v>
      </c>
      <c r="F5" s="23" t="n">
        <f aca="false">(F4-E4)/E4</f>
        <v>0.169526617937698</v>
      </c>
      <c r="G5" s="23" t="n">
        <f aca="false">(G4-F4)/F4</f>
        <v>0.179635739384673</v>
      </c>
      <c r="H5" s="23" t="n">
        <f aca="false">(H4-G4)/G4</f>
        <v>0.182341170585293</v>
      </c>
      <c r="I5" s="10"/>
    </row>
    <row r="6" customFormat="false" ht="18" hidden="false" customHeight="true" outlineLevel="0" collapsed="false">
      <c r="B6" s="20" t="s">
        <v>54</v>
      </c>
      <c r="C6" s="21" t="n">
        <v>8456</v>
      </c>
      <c r="D6" s="21" t="n">
        <v>12831</v>
      </c>
      <c r="E6" s="21" t="n">
        <v>23293</v>
      </c>
      <c r="F6" s="21" t="n">
        <v>26638</v>
      </c>
      <c r="G6" s="21" t="n">
        <v>30856</v>
      </c>
      <c r="H6" s="21" t="n">
        <v>36474</v>
      </c>
      <c r="I6" s="6"/>
    </row>
    <row r="7" customFormat="false" ht="18" hidden="false" customHeight="true" outlineLevel="0" collapsed="false">
      <c r="B7" s="24" t="s">
        <v>55</v>
      </c>
      <c r="C7" s="25" t="n">
        <f aca="false">C4-C6</f>
        <v>2683</v>
      </c>
      <c r="D7" s="25" t="n">
        <f aca="false">D4-D6</f>
        <v>4624</v>
      </c>
      <c r="E7" s="25" t="n">
        <f aca="false">E4-E6</f>
        <v>8584</v>
      </c>
      <c r="F7" s="25" t="n">
        <f aca="false">F4-F6</f>
        <v>10643</v>
      </c>
      <c r="G7" s="25" t="n">
        <f aca="false">G4-G6</f>
        <v>13122</v>
      </c>
      <c r="H7" s="25" t="n">
        <f aca="false">H4-H6</f>
        <v>15523</v>
      </c>
      <c r="I7" s="10"/>
    </row>
    <row r="8" customFormat="false" ht="18" hidden="false" customHeight="true" outlineLevel="0" collapsed="false">
      <c r="B8" s="20" t="s">
        <v>56</v>
      </c>
      <c r="C8" s="26" t="n">
        <f aca="false">C7/C4</f>
        <v>0.240865427776282</v>
      </c>
      <c r="D8" s="26" t="n">
        <f aca="false">D7/D4</f>
        <v>0.264909767974792</v>
      </c>
      <c r="E8" s="26" t="n">
        <f aca="false">E7/E4</f>
        <v>0.269285064466543</v>
      </c>
      <c r="F8" s="26" t="n">
        <f aca="false">F7/F4</f>
        <v>0.285480539685094</v>
      </c>
      <c r="G8" s="26" t="n">
        <f aca="false">G7/G4</f>
        <v>0.298376460957752</v>
      </c>
      <c r="H8" s="26" t="n">
        <f aca="false">H7/H4</f>
        <v>0.298536454026194</v>
      </c>
      <c r="I8" s="6"/>
    </row>
    <row r="9" customFormat="false" ht="7.5" hidden="false" customHeight="true" outlineLevel="0" collapsed="false"/>
    <row r="10" customFormat="false" ht="18" hidden="false" customHeight="true" outlineLevel="0" collapsed="false">
      <c r="B10" s="27" t="s">
        <v>57</v>
      </c>
      <c r="C10" s="28"/>
      <c r="D10" s="28"/>
      <c r="E10" s="28"/>
      <c r="F10" s="28"/>
      <c r="G10" s="28"/>
      <c r="H10" s="28"/>
      <c r="I10" s="28"/>
    </row>
    <row r="11" customFormat="false" ht="18" hidden="false" customHeight="true" outlineLevel="0" collapsed="false">
      <c r="B11" s="22" t="s">
        <v>58</v>
      </c>
      <c r="C11" s="29" t="n">
        <v>3500</v>
      </c>
      <c r="D11" s="29" t="n">
        <v>4789</v>
      </c>
      <c r="E11" s="29" t="n">
        <v>4123</v>
      </c>
      <c r="F11" s="29" t="n">
        <v>4448</v>
      </c>
      <c r="G11" s="29" t="n">
        <v>4824</v>
      </c>
      <c r="H11" s="29" t="n">
        <v>5243</v>
      </c>
      <c r="I11" s="10"/>
    </row>
    <row r="12" customFormat="false" ht="18" hidden="false" customHeight="true" outlineLevel="0" collapsed="false">
      <c r="B12" s="20" t="s">
        <v>59</v>
      </c>
      <c r="C12" s="21" t="n">
        <v>2205</v>
      </c>
      <c r="D12" s="21" t="n">
        <v>2054</v>
      </c>
      <c r="E12" s="21" t="n">
        <v>2810</v>
      </c>
      <c r="F12" s="21" t="n">
        <v>3164</v>
      </c>
      <c r="G12" s="21" t="n">
        <v>3250</v>
      </c>
      <c r="H12" s="21" t="n">
        <v>3420</v>
      </c>
      <c r="I12" s="6"/>
    </row>
    <row r="13" customFormat="false" ht="18" hidden="false" customHeight="true" outlineLevel="0" collapsed="false">
      <c r="B13" s="22" t="s">
        <v>60</v>
      </c>
      <c r="C13" s="29" t="n">
        <v>2666</v>
      </c>
      <c r="D13" s="29" t="n">
        <v>2488</v>
      </c>
      <c r="E13" s="29" t="n">
        <v>2420</v>
      </c>
      <c r="F13" s="29" t="n">
        <v>2200</v>
      </c>
      <c r="G13" s="29" t="n">
        <v>2400</v>
      </c>
      <c r="H13" s="29" t="n">
        <v>2650</v>
      </c>
      <c r="I13" s="10"/>
    </row>
    <row r="14" customFormat="false" ht="18" hidden="false" customHeight="true" outlineLevel="0" collapsed="false">
      <c r="B14" s="30" t="s">
        <v>61</v>
      </c>
      <c r="C14" s="31" t="n">
        <f aca="false">C11+C12+C13</f>
        <v>8371</v>
      </c>
      <c r="D14" s="31" t="n">
        <f aca="false">D11+D12+D13</f>
        <v>9331</v>
      </c>
      <c r="E14" s="31" t="n">
        <f aca="false">E11+E12+E13</f>
        <v>9353</v>
      </c>
      <c r="F14" s="31" t="n">
        <f aca="false">F11+F12+F13</f>
        <v>9812</v>
      </c>
      <c r="G14" s="31" t="n">
        <f aca="false">G11+G12+G13</f>
        <v>10474</v>
      </c>
      <c r="H14" s="31" t="n">
        <f aca="false">H11+H12+H13</f>
        <v>11313</v>
      </c>
      <c r="I14" s="6"/>
    </row>
    <row r="15" customFormat="false" ht="7.5" hidden="false" customHeight="true" outlineLevel="0" collapsed="false"/>
    <row r="16" customFormat="false" ht="18" hidden="false" customHeight="true" outlineLevel="0" collapsed="false">
      <c r="B16" s="30" t="s">
        <v>62</v>
      </c>
      <c r="C16" s="32" t="n">
        <v>-4863</v>
      </c>
      <c r="D16" s="32" t="n">
        <v>-3824</v>
      </c>
      <c r="E16" s="32" t="n">
        <v>-1832</v>
      </c>
      <c r="F16" s="32" t="n">
        <v>1110</v>
      </c>
      <c r="G16" s="32" t="n">
        <v>2798</v>
      </c>
      <c r="H16" s="32" t="n">
        <v>5573</v>
      </c>
      <c r="I16" s="6"/>
    </row>
    <row r="17" customFormat="false" ht="18" hidden="false" customHeight="true" outlineLevel="0" collapsed="false">
      <c r="B17" s="22" t="s">
        <v>63</v>
      </c>
      <c r="C17" s="23" t="n">
        <f aca="false">C16/C4</f>
        <v>-0.43657419876111</v>
      </c>
      <c r="D17" s="23" t="n">
        <f aca="false">D16/D4</f>
        <v>-0.219077628186766</v>
      </c>
      <c r="E17" s="23" t="n">
        <f aca="false">E16/E4</f>
        <v>-0.0574709037864291</v>
      </c>
      <c r="F17" s="23" t="n">
        <f aca="false">F16/F4</f>
        <v>0.0297738794560232</v>
      </c>
      <c r="G17" s="23" t="n">
        <f aca="false">G16/G4</f>
        <v>0.0636227204511347</v>
      </c>
      <c r="H17" s="23" t="n">
        <f aca="false">H16/H4</f>
        <v>0.107179260341943</v>
      </c>
      <c r="I17" s="10"/>
    </row>
    <row r="18" customFormat="false" ht="7.5" hidden="false" customHeight="true" outlineLevel="0" collapsed="false"/>
    <row r="19" customFormat="false" ht="18" hidden="false" customHeight="true" outlineLevel="0" collapsed="false">
      <c r="B19" s="27" t="s">
        <v>64</v>
      </c>
      <c r="C19" s="28"/>
      <c r="D19" s="28"/>
      <c r="E19" s="28"/>
      <c r="F19" s="28"/>
      <c r="G19" s="28"/>
      <c r="H19" s="28"/>
      <c r="I19" s="28"/>
    </row>
    <row r="20" customFormat="false" ht="18" hidden="false" customHeight="true" outlineLevel="0" collapsed="false">
      <c r="B20" s="20" t="s">
        <v>65</v>
      </c>
      <c r="C20" s="33" t="n">
        <v>-649</v>
      </c>
      <c r="D20" s="33" t="n">
        <v>-483</v>
      </c>
      <c r="E20" s="33" t="n">
        <v>-565</v>
      </c>
      <c r="F20" s="33" t="n">
        <v>-595</v>
      </c>
      <c r="G20" s="33" t="n">
        <v>-630</v>
      </c>
      <c r="H20" s="33" t="n">
        <v>-596</v>
      </c>
      <c r="I20" s="6"/>
    </row>
    <row r="21" customFormat="false" ht="18" hidden="false" customHeight="true" outlineLevel="0" collapsed="false">
      <c r="B21" s="22" t="s">
        <v>66</v>
      </c>
      <c r="C21" s="29" t="n">
        <v>32</v>
      </c>
      <c r="D21" s="29" t="n">
        <v>18</v>
      </c>
      <c r="E21" s="29" t="n">
        <v>45</v>
      </c>
      <c r="F21" s="29" t="n">
        <v>91</v>
      </c>
      <c r="G21" s="29" t="n">
        <v>228</v>
      </c>
      <c r="H21" s="29" t="n">
        <v>376</v>
      </c>
      <c r="I21" s="10"/>
    </row>
    <row r="22" customFormat="false" ht="18" hidden="false" customHeight="true" outlineLevel="0" collapsed="false">
      <c r="B22" s="20" t="s">
        <v>67</v>
      </c>
      <c r="C22" s="33" t="n">
        <v>-1408</v>
      </c>
      <c r="D22" s="33" t="n">
        <v>-125</v>
      </c>
      <c r="E22" s="33" t="n">
        <v>-8744</v>
      </c>
      <c r="F22" s="33" t="n">
        <v>-1005</v>
      </c>
      <c r="G22" s="33" t="n">
        <v>2489</v>
      </c>
      <c r="H22" s="33" t="n">
        <v>0</v>
      </c>
      <c r="I22" s="6"/>
    </row>
    <row r="23" customFormat="false" ht="18" hidden="false" customHeight="true" outlineLevel="0" collapsed="false">
      <c r="B23" s="24" t="s">
        <v>68</v>
      </c>
      <c r="C23" s="34" t="n">
        <v>-6888</v>
      </c>
      <c r="D23" s="34" t="n">
        <v>-570</v>
      </c>
      <c r="E23" s="34" t="n">
        <v>-9141</v>
      </c>
      <c r="F23" s="34" t="n">
        <v>1083</v>
      </c>
      <c r="G23" s="34" t="n">
        <v>4287</v>
      </c>
      <c r="H23" s="34" t="n">
        <v>5747</v>
      </c>
      <c r="I23" s="10"/>
    </row>
    <row r="24" customFormat="false" ht="18" hidden="false" customHeight="true" outlineLevel="0" collapsed="false">
      <c r="B24" s="20" t="s">
        <v>69</v>
      </c>
      <c r="C24" s="33" t="n">
        <v>192</v>
      </c>
      <c r="D24" s="33" t="n">
        <v>-492</v>
      </c>
      <c r="E24" s="33" t="n">
        <v>-181</v>
      </c>
      <c r="F24" s="33" t="n">
        <v>213</v>
      </c>
      <c r="G24" s="33" t="n">
        <v>-5764</v>
      </c>
      <c r="H24" s="33" t="n">
        <v>-4351</v>
      </c>
      <c r="I24" s="6"/>
    </row>
    <row r="25" customFormat="false" ht="18" hidden="false" customHeight="true" outlineLevel="0" collapsed="false">
      <c r="B25" s="22" t="s">
        <v>70</v>
      </c>
      <c r="C25" s="23" t="n">
        <f aca="false">IF(C23&lt;&gt;0,C24/C23,0)</f>
        <v>-0.0278745644599303</v>
      </c>
      <c r="D25" s="23" t="n">
        <f aca="false">IF(D23&lt;&gt;0,D24/D23,0)</f>
        <v>0.863157894736842</v>
      </c>
      <c r="E25" s="23" t="n">
        <f aca="false">IF(E23&lt;&gt;0,E24/E23,0)</f>
        <v>0.0198008970572147</v>
      </c>
      <c r="F25" s="23" t="n">
        <f aca="false">IF(F23&lt;&gt;0,F24/F23,0)</f>
        <v>0.196675900277008</v>
      </c>
      <c r="G25" s="23" t="n">
        <f aca="false">IF(G23&lt;&gt;0,G24/G23,0)</f>
        <v>-1.34452997434103</v>
      </c>
      <c r="H25" s="23" t="n">
        <f aca="false">IF(H23&lt;&gt;0,H24/H23,0)</f>
        <v>-0.757090655994432</v>
      </c>
      <c r="I25" s="10"/>
    </row>
    <row r="26" customFormat="false" ht="18" hidden="false" customHeight="true" outlineLevel="0" collapsed="false">
      <c r="B26" s="30" t="s">
        <v>71</v>
      </c>
      <c r="C26" s="32" t="n">
        <v>-6768</v>
      </c>
      <c r="D26" s="32" t="n">
        <v>-496</v>
      </c>
      <c r="E26" s="32" t="n">
        <v>-9141</v>
      </c>
      <c r="F26" s="32" t="n">
        <v>1887</v>
      </c>
      <c r="G26" s="32" t="n">
        <v>9856</v>
      </c>
      <c r="H26" s="32" t="n">
        <v>10055</v>
      </c>
      <c r="I26" s="6"/>
    </row>
    <row r="27" customFormat="false" ht="7.5" hidden="false" customHeight="true" outlineLevel="0" collapsed="false"/>
    <row r="28" customFormat="false" ht="18" hidden="false" customHeight="true" outlineLevel="0" collapsed="false">
      <c r="B28" s="27" t="s">
        <v>72</v>
      </c>
      <c r="C28" s="28"/>
      <c r="D28" s="28"/>
      <c r="E28" s="28"/>
      <c r="F28" s="28"/>
      <c r="G28" s="28"/>
      <c r="H28" s="28"/>
      <c r="I28" s="28"/>
    </row>
    <row r="29" customFormat="false" ht="18" hidden="false" customHeight="true" outlineLevel="0" collapsed="false">
      <c r="B29" s="22" t="s">
        <v>73</v>
      </c>
      <c r="C29" s="35" t="n">
        <v>-3.86</v>
      </c>
      <c r="D29" s="35" t="n">
        <v>-0.26</v>
      </c>
      <c r="E29" s="35" t="n">
        <v>-4.64</v>
      </c>
      <c r="F29" s="35" t="n">
        <v>0.87</v>
      </c>
      <c r="G29" s="35" t="n">
        <v>4.56</v>
      </c>
      <c r="H29" s="35" t="n">
        <v>4.73</v>
      </c>
      <c r="I29" s="10"/>
    </row>
    <row r="30" customFormat="false" ht="18" hidden="false" customHeight="true" outlineLevel="0" collapsed="false">
      <c r="B30" s="20" t="s">
        <v>74</v>
      </c>
      <c r="C30" s="21" t="n">
        <v>1751</v>
      </c>
      <c r="D30" s="21" t="n">
        <v>1898</v>
      </c>
      <c r="E30" s="21" t="n">
        <v>1975</v>
      </c>
      <c r="F30" s="21" t="n">
        <v>2158</v>
      </c>
      <c r="G30" s="21" t="n">
        <v>2159</v>
      </c>
      <c r="H30" s="21" t="n">
        <v>2127</v>
      </c>
      <c r="I30" s="6"/>
    </row>
    <row r="31" customFormat="false" ht="7.5" hidden="false" customHeight="true" outlineLevel="0" collapsed="false"/>
    <row r="32" customFormat="false" ht="18" hidden="false" customHeight="true" outlineLevel="0" collapsed="false">
      <c r="B32" s="27" t="s">
        <v>75</v>
      </c>
      <c r="C32" s="28"/>
      <c r="D32" s="28"/>
      <c r="E32" s="28"/>
      <c r="F32" s="28"/>
      <c r="G32" s="28"/>
      <c r="H32" s="28"/>
      <c r="I32" s="28"/>
    </row>
    <row r="33" customFormat="false" ht="18" hidden="false" customHeight="true" outlineLevel="0" collapsed="false">
      <c r="B33" s="22" t="s">
        <v>76</v>
      </c>
      <c r="C33" s="29" t="n">
        <v>939</v>
      </c>
      <c r="D33" s="29" t="n">
        <v>902</v>
      </c>
      <c r="E33" s="29" t="n">
        <v>947</v>
      </c>
      <c r="F33" s="29" t="n">
        <v>823</v>
      </c>
      <c r="G33" s="29" t="n">
        <v>853</v>
      </c>
      <c r="H33" s="29" t="n">
        <v>900</v>
      </c>
      <c r="I33" s="10"/>
    </row>
    <row r="34" customFormat="false" ht="18" hidden="false" customHeight="true" outlineLevel="0" collapsed="false">
      <c r="B34" s="20" t="s">
        <v>77</v>
      </c>
      <c r="C34" s="21" t="n">
        <v>828</v>
      </c>
      <c r="D34" s="21" t="n">
        <v>1168</v>
      </c>
      <c r="E34" s="21" t="n">
        <v>1793</v>
      </c>
      <c r="F34" s="21" t="n">
        <v>1935</v>
      </c>
      <c r="G34" s="21" t="n">
        <v>1939</v>
      </c>
      <c r="H34" s="21" t="n">
        <v>2011</v>
      </c>
      <c r="I34" s="6"/>
    </row>
    <row r="35" customFormat="false" ht="18" hidden="false" customHeight="true" outlineLevel="0" collapsed="false">
      <c r="B35" s="24" t="s">
        <v>78</v>
      </c>
      <c r="C35" s="25" t="n">
        <f aca="false">C16+C33</f>
        <v>-3924</v>
      </c>
      <c r="D35" s="25" t="n">
        <f aca="false">D16+D33</f>
        <v>-2922</v>
      </c>
      <c r="E35" s="25" t="n">
        <f aca="false">E16+E33</f>
        <v>-885</v>
      </c>
      <c r="F35" s="25" t="n">
        <f aca="false">F16+F33</f>
        <v>1933</v>
      </c>
      <c r="G35" s="25" t="n">
        <f aca="false">G16+G33</f>
        <v>3651</v>
      </c>
      <c r="H35" s="25" t="n">
        <f aca="false">H16+H33</f>
        <v>6473</v>
      </c>
      <c r="I35" s="10"/>
    </row>
    <row r="36" customFormat="false" ht="18" hidden="false" customHeight="true" outlineLevel="0" collapsed="false">
      <c r="B36" s="20" t="s">
        <v>79</v>
      </c>
      <c r="C36" s="26" t="n">
        <f aca="false">C35/C4</f>
        <v>-0.352275787772691</v>
      </c>
      <c r="D36" s="26" t="n">
        <f aca="false">D35/D4</f>
        <v>-0.167401890575766</v>
      </c>
      <c r="E36" s="26" t="n">
        <f aca="false">E35/E4</f>
        <v>-0.0277629638924616</v>
      </c>
      <c r="F36" s="26" t="n">
        <f aca="false">F35/F4</f>
        <v>0.0518494675572007</v>
      </c>
      <c r="G36" s="26" t="n">
        <f aca="false">G35/G4</f>
        <v>0.0830187821183319</v>
      </c>
      <c r="H36" s="26" t="n">
        <f aca="false">H35/H4</f>
        <v>0.124487951227955</v>
      </c>
      <c r="I36" s="6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8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80</v>
      </c>
      <c r="C2" s="18"/>
      <c r="D2" s="18"/>
      <c r="E2" s="18"/>
    </row>
    <row r="3" customFormat="false" ht="21.75" hidden="false" customHeight="true" outlineLevel="0" collapsed="false">
      <c r="B3" s="19" t="s">
        <v>81</v>
      </c>
      <c r="C3" s="19" t="s">
        <v>82</v>
      </c>
      <c r="D3" s="19" t="s">
        <v>83</v>
      </c>
    </row>
    <row r="4" customFormat="false" ht="18" hidden="false" customHeight="true" outlineLevel="0" collapsed="false">
      <c r="B4" s="27" t="s">
        <v>84</v>
      </c>
      <c r="C4" s="28"/>
      <c r="D4" s="28"/>
      <c r="E4" s="28"/>
    </row>
    <row r="5" customFormat="false" ht="18" hidden="false" customHeight="true" outlineLevel="0" collapsed="false">
      <c r="B5" s="30" t="s">
        <v>85</v>
      </c>
      <c r="C5" s="6"/>
      <c r="D5" s="6"/>
      <c r="E5" s="6"/>
    </row>
    <row r="6" customFormat="false" ht="18" hidden="false" customHeight="true" outlineLevel="0" collapsed="false">
      <c r="B6" s="22" t="s">
        <v>86</v>
      </c>
      <c r="C6" s="36" t="n">
        <v>8500</v>
      </c>
      <c r="D6" s="37" t="s">
        <v>87</v>
      </c>
      <c r="E6" s="10"/>
    </row>
    <row r="7" customFormat="false" ht="18" hidden="false" customHeight="true" outlineLevel="0" collapsed="false">
      <c r="B7" s="20" t="s">
        <v>88</v>
      </c>
      <c r="C7" s="33" t="n">
        <v>3200</v>
      </c>
      <c r="D7" s="38" t="s">
        <v>87</v>
      </c>
      <c r="E7" s="6"/>
    </row>
    <row r="8" customFormat="false" ht="18" hidden="false" customHeight="true" outlineLevel="0" collapsed="false">
      <c r="B8" s="22" t="s">
        <v>89</v>
      </c>
      <c r="C8" s="36" t="n">
        <v>3900</v>
      </c>
      <c r="D8" s="37" t="s">
        <v>87</v>
      </c>
      <c r="E8" s="10"/>
    </row>
    <row r="9" customFormat="false" ht="18" hidden="false" customHeight="true" outlineLevel="0" collapsed="false">
      <c r="B9" s="20" t="s">
        <v>90</v>
      </c>
      <c r="C9" s="33" t="n">
        <v>1200</v>
      </c>
      <c r="D9" s="38" t="s">
        <v>91</v>
      </c>
      <c r="E9" s="6"/>
    </row>
    <row r="10" customFormat="false" ht="18" hidden="false" customHeight="true" outlineLevel="0" collapsed="false">
      <c r="B10" s="24" t="s">
        <v>92</v>
      </c>
      <c r="C10" s="25" t="n">
        <f aca="false">C6+C7+C8+C9</f>
        <v>16800</v>
      </c>
      <c r="D10" s="37" t="s">
        <v>87</v>
      </c>
      <c r="E10" s="10"/>
    </row>
    <row r="11" customFormat="false" ht="7.5" hidden="false" customHeight="true" outlineLevel="0" collapsed="false"/>
    <row r="12" customFormat="false" ht="18" hidden="false" customHeight="true" outlineLevel="0" collapsed="false">
      <c r="B12" s="30" t="s">
        <v>93</v>
      </c>
      <c r="C12" s="6"/>
      <c r="D12" s="6"/>
      <c r="E12" s="6"/>
    </row>
    <row r="13" customFormat="false" ht="18" hidden="false" customHeight="true" outlineLevel="0" collapsed="false">
      <c r="B13" s="22" t="s">
        <v>94</v>
      </c>
      <c r="C13" s="36" t="n">
        <v>2100</v>
      </c>
      <c r="D13" s="37" t="s">
        <v>87</v>
      </c>
      <c r="E13" s="10"/>
    </row>
    <row r="14" customFormat="false" ht="18" hidden="false" customHeight="true" outlineLevel="0" collapsed="false">
      <c r="B14" s="20" t="s">
        <v>95</v>
      </c>
      <c r="C14" s="33" t="n">
        <v>8200</v>
      </c>
      <c r="D14" s="38" t="s">
        <v>87</v>
      </c>
      <c r="E14" s="6"/>
    </row>
    <row r="15" customFormat="false" ht="18" hidden="false" customHeight="true" outlineLevel="0" collapsed="false">
      <c r="B15" s="22" t="s">
        <v>96</v>
      </c>
      <c r="C15" s="36" t="n">
        <v>1600</v>
      </c>
      <c r="D15" s="37" t="s">
        <v>87</v>
      </c>
      <c r="E15" s="10"/>
    </row>
    <row r="16" customFormat="false" ht="18" hidden="false" customHeight="true" outlineLevel="0" collapsed="false">
      <c r="B16" s="20" t="s">
        <v>97</v>
      </c>
      <c r="C16" s="33" t="n">
        <v>7000</v>
      </c>
      <c r="D16" s="38" t="s">
        <v>98</v>
      </c>
      <c r="E16" s="6"/>
    </row>
    <row r="17" customFormat="false" ht="18" hidden="false" customHeight="true" outlineLevel="0" collapsed="false">
      <c r="B17" s="22" t="s">
        <v>99</v>
      </c>
      <c r="C17" s="36" t="n">
        <v>1800</v>
      </c>
      <c r="D17" s="37" t="s">
        <v>100</v>
      </c>
      <c r="E17" s="10"/>
    </row>
    <row r="18" customFormat="false" ht="18" hidden="false" customHeight="true" outlineLevel="0" collapsed="false">
      <c r="B18" s="20" t="s">
        <v>101</v>
      </c>
      <c r="C18" s="33" t="n">
        <v>8600</v>
      </c>
      <c r="D18" s="38" t="s">
        <v>102</v>
      </c>
      <c r="E18" s="6"/>
    </row>
    <row r="19" customFormat="false" ht="18" hidden="false" customHeight="true" outlineLevel="0" collapsed="false">
      <c r="B19" s="22" t="s">
        <v>103</v>
      </c>
      <c r="C19" s="36" t="n">
        <v>3900</v>
      </c>
      <c r="D19" s="37" t="s">
        <v>91</v>
      </c>
      <c r="E19" s="10"/>
    </row>
    <row r="20" customFormat="false" ht="18" hidden="false" customHeight="true" outlineLevel="0" collapsed="false">
      <c r="B20" s="30" t="s">
        <v>104</v>
      </c>
      <c r="C20" s="31" t="n">
        <v>33200</v>
      </c>
      <c r="D20" s="6"/>
      <c r="E20" s="6"/>
    </row>
    <row r="21" customFormat="false" ht="18" hidden="false" customHeight="true" outlineLevel="0" collapsed="false">
      <c r="B21" s="24" t="s">
        <v>105</v>
      </c>
      <c r="C21" s="25" t="n">
        <v>50000</v>
      </c>
      <c r="D21" s="37" t="s">
        <v>87</v>
      </c>
      <c r="E21" s="10"/>
    </row>
    <row r="22" customFormat="false" ht="7.5" hidden="false" customHeight="true" outlineLevel="0" collapsed="false"/>
    <row r="23" customFormat="false" ht="18" hidden="false" customHeight="true" outlineLevel="0" collapsed="false">
      <c r="B23" s="27" t="s">
        <v>106</v>
      </c>
      <c r="C23" s="28"/>
      <c r="D23" s="28"/>
      <c r="E23" s="28"/>
    </row>
    <row r="24" customFormat="false" ht="18" hidden="false" customHeight="true" outlineLevel="0" collapsed="false">
      <c r="B24" s="30" t="s">
        <v>107</v>
      </c>
      <c r="C24" s="6"/>
      <c r="D24" s="6"/>
      <c r="E24" s="6"/>
    </row>
    <row r="25" customFormat="false" ht="18" hidden="false" customHeight="true" outlineLevel="0" collapsed="false">
      <c r="B25" s="22" t="s">
        <v>108</v>
      </c>
      <c r="C25" s="36" t="n">
        <v>2400</v>
      </c>
      <c r="D25" s="37" t="s">
        <v>87</v>
      </c>
      <c r="E25" s="10"/>
    </row>
    <row r="26" customFormat="false" ht="18" hidden="false" customHeight="true" outlineLevel="0" collapsed="false">
      <c r="B26" s="20" t="s">
        <v>109</v>
      </c>
      <c r="C26" s="33" t="n">
        <v>6200</v>
      </c>
      <c r="D26" s="38" t="s">
        <v>91</v>
      </c>
      <c r="E26" s="6"/>
    </row>
    <row r="27" customFormat="false" ht="18" hidden="false" customHeight="true" outlineLevel="0" collapsed="false">
      <c r="B27" s="22" t="s">
        <v>110</v>
      </c>
      <c r="C27" s="36" t="n">
        <v>500</v>
      </c>
      <c r="D27" s="37" t="s">
        <v>87</v>
      </c>
      <c r="E27" s="10"/>
    </row>
    <row r="28" customFormat="false" ht="18" hidden="false" customHeight="true" outlineLevel="0" collapsed="false">
      <c r="B28" s="20" t="s">
        <v>111</v>
      </c>
      <c r="C28" s="33" t="n">
        <v>400</v>
      </c>
      <c r="D28" s="38" t="s">
        <v>87</v>
      </c>
      <c r="E28" s="6"/>
    </row>
    <row r="29" customFormat="false" ht="18" hidden="false" customHeight="true" outlineLevel="0" collapsed="false">
      <c r="B29" s="22" t="s">
        <v>112</v>
      </c>
      <c r="C29" s="36" t="n">
        <v>1000</v>
      </c>
      <c r="D29" s="37" t="s">
        <v>91</v>
      </c>
      <c r="E29" s="10"/>
    </row>
    <row r="30" customFormat="false" ht="18" hidden="false" customHeight="true" outlineLevel="0" collapsed="false">
      <c r="B30" s="30" t="s">
        <v>113</v>
      </c>
      <c r="C30" s="31" t="n">
        <v>10500</v>
      </c>
      <c r="D30" s="38" t="s">
        <v>87</v>
      </c>
      <c r="E30" s="6"/>
    </row>
    <row r="31" customFormat="false" ht="7.5" hidden="false" customHeight="true" outlineLevel="0" collapsed="false"/>
    <row r="32" customFormat="false" ht="18" hidden="false" customHeight="true" outlineLevel="0" collapsed="false">
      <c r="B32" s="24" t="s">
        <v>114</v>
      </c>
      <c r="C32" s="10"/>
      <c r="D32" s="10"/>
      <c r="E32" s="10"/>
    </row>
    <row r="33" customFormat="false" ht="18" hidden="false" customHeight="true" outlineLevel="0" collapsed="false">
      <c r="B33" s="20" t="s">
        <v>115</v>
      </c>
      <c r="C33" s="33" t="n">
        <v>9500</v>
      </c>
      <c r="D33" s="38" t="s">
        <v>87</v>
      </c>
      <c r="E33" s="6"/>
    </row>
    <row r="34" customFormat="false" ht="18" hidden="false" customHeight="true" outlineLevel="0" collapsed="false">
      <c r="B34" s="22" t="s">
        <v>116</v>
      </c>
      <c r="C34" s="36" t="n">
        <v>1500</v>
      </c>
      <c r="D34" s="37" t="s">
        <v>87</v>
      </c>
      <c r="E34" s="10"/>
    </row>
    <row r="35" customFormat="false" ht="18" hidden="false" customHeight="true" outlineLevel="0" collapsed="false">
      <c r="B35" s="20" t="s">
        <v>117</v>
      </c>
      <c r="C35" s="33" t="n">
        <v>250</v>
      </c>
      <c r="D35" s="38" t="s">
        <v>87</v>
      </c>
      <c r="E35" s="6"/>
    </row>
    <row r="36" customFormat="false" ht="18" hidden="false" customHeight="true" outlineLevel="0" collapsed="false">
      <c r="B36" s="22" t="s">
        <v>118</v>
      </c>
      <c r="C36" s="36" t="n">
        <v>3250</v>
      </c>
      <c r="D36" s="37" t="s">
        <v>91</v>
      </c>
      <c r="E36" s="10"/>
    </row>
    <row r="37" customFormat="false" ht="18" hidden="false" customHeight="true" outlineLevel="0" collapsed="false">
      <c r="B37" s="30" t="s">
        <v>119</v>
      </c>
      <c r="C37" s="31" t="n">
        <v>14500</v>
      </c>
      <c r="D37" s="6"/>
      <c r="E37" s="6"/>
    </row>
    <row r="38" customFormat="false" ht="18" hidden="false" customHeight="true" outlineLevel="0" collapsed="false">
      <c r="B38" s="24" t="s">
        <v>120</v>
      </c>
      <c r="C38" s="25" t="n">
        <v>25000</v>
      </c>
      <c r="D38" s="37" t="s">
        <v>87</v>
      </c>
      <c r="E38" s="10"/>
    </row>
    <row r="39" customFormat="false" ht="7.5" hidden="false" customHeight="true" outlineLevel="0" collapsed="false"/>
    <row r="40" customFormat="false" ht="18" hidden="false" customHeight="true" outlineLevel="0" collapsed="false">
      <c r="B40" s="27" t="s">
        <v>121</v>
      </c>
      <c r="C40" s="28"/>
      <c r="D40" s="28"/>
      <c r="E40" s="28"/>
    </row>
    <row r="41" customFormat="false" ht="18" hidden="false" customHeight="true" outlineLevel="0" collapsed="false">
      <c r="B41" s="20" t="s">
        <v>122</v>
      </c>
      <c r="C41" s="33" t="n">
        <v>42000</v>
      </c>
      <c r="D41" s="38" t="s">
        <v>87</v>
      </c>
      <c r="E41" s="6"/>
    </row>
    <row r="42" customFormat="false" ht="18" hidden="false" customHeight="true" outlineLevel="0" collapsed="false">
      <c r="B42" s="22" t="s">
        <v>123</v>
      </c>
      <c r="C42" s="36" t="n">
        <v>-17000</v>
      </c>
      <c r="D42" s="37" t="s">
        <v>87</v>
      </c>
      <c r="E42" s="10"/>
    </row>
    <row r="43" customFormat="false" ht="18" hidden="false" customHeight="true" outlineLevel="0" collapsed="false">
      <c r="B43" s="20" t="s">
        <v>124</v>
      </c>
      <c r="C43" s="33" t="n">
        <v>0</v>
      </c>
      <c r="D43" s="38" t="s">
        <v>125</v>
      </c>
      <c r="E43" s="6"/>
    </row>
    <row r="44" customFormat="false" ht="18" hidden="false" customHeight="true" outlineLevel="0" collapsed="false">
      <c r="B44" s="24" t="s">
        <v>126</v>
      </c>
      <c r="C44" s="25" t="n">
        <v>25000</v>
      </c>
      <c r="D44" s="37" t="s">
        <v>87</v>
      </c>
      <c r="E44" s="10"/>
    </row>
    <row r="45" customFormat="false" ht="18" hidden="false" customHeight="true" outlineLevel="0" collapsed="false">
      <c r="B45" s="30" t="s">
        <v>127</v>
      </c>
      <c r="C45" s="31" t="n">
        <v>50000</v>
      </c>
      <c r="D45" s="38" t="s">
        <v>87</v>
      </c>
      <c r="E45" s="6"/>
    </row>
    <row r="46" customFormat="false" ht="7.5" hidden="false" customHeight="true" outlineLevel="0" collapsed="false"/>
    <row r="47" customFormat="false" ht="18" hidden="false" customHeight="true" outlineLevel="0" collapsed="false">
      <c r="B47" s="27" t="s">
        <v>128</v>
      </c>
      <c r="C47" s="28"/>
      <c r="D47" s="28"/>
      <c r="E47" s="28"/>
    </row>
    <row r="48" customFormat="false" ht="18" hidden="false" customHeight="true" outlineLevel="0" collapsed="false">
      <c r="B48" s="20" t="s">
        <v>129</v>
      </c>
      <c r="C48" s="39" t="str">
        <f aca="false">IF(C21=C45,"BALANCED ✓","MISMATCH ✗")</f>
        <v>BALANCED ✓</v>
      </c>
      <c r="D48" s="6"/>
      <c r="E48" s="6"/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130</v>
      </c>
      <c r="C2" s="18"/>
      <c r="D2" s="18"/>
      <c r="E2" s="18"/>
      <c r="F2" s="18"/>
    </row>
    <row r="3" customFormat="false" ht="21.75" hidden="false" customHeight="true" outlineLevel="0" collapsed="false">
      <c r="B3" s="19" t="s">
        <v>44</v>
      </c>
      <c r="C3" s="19" t="s">
        <v>131</v>
      </c>
      <c r="D3" s="19" t="s">
        <v>132</v>
      </c>
      <c r="E3" s="19" t="s">
        <v>133</v>
      </c>
      <c r="F3" s="19" t="s">
        <v>134</v>
      </c>
    </row>
    <row r="4" customFormat="false" ht="18" hidden="false" customHeight="true" outlineLevel="0" collapsed="false">
      <c r="B4" s="27" t="s">
        <v>135</v>
      </c>
      <c r="C4" s="28"/>
      <c r="D4" s="28"/>
      <c r="E4" s="28"/>
      <c r="F4" s="28"/>
    </row>
    <row r="5" customFormat="false" ht="18" hidden="false" customHeight="true" outlineLevel="0" collapsed="false">
      <c r="B5" s="20" t="s">
        <v>71</v>
      </c>
      <c r="C5" s="33" t="n">
        <v>1887</v>
      </c>
      <c r="D5" s="33" t="n">
        <v>9856</v>
      </c>
      <c r="E5" s="33" t="n">
        <v>10055</v>
      </c>
      <c r="F5" s="6"/>
    </row>
    <row r="6" customFormat="false" ht="18" hidden="false" customHeight="true" outlineLevel="0" collapsed="false">
      <c r="B6" s="22" t="s">
        <v>136</v>
      </c>
      <c r="C6" s="29" t="n">
        <v>823</v>
      </c>
      <c r="D6" s="29" t="n">
        <v>853</v>
      </c>
      <c r="E6" s="29" t="n">
        <v>900</v>
      </c>
      <c r="F6" s="10"/>
    </row>
    <row r="7" customFormat="false" ht="18" hidden="false" customHeight="true" outlineLevel="0" collapsed="false">
      <c r="B7" s="20" t="s">
        <v>137</v>
      </c>
      <c r="C7" s="21" t="n">
        <v>1935</v>
      </c>
      <c r="D7" s="21" t="n">
        <v>1939</v>
      </c>
      <c r="E7" s="21" t="n">
        <v>2011</v>
      </c>
      <c r="F7" s="6"/>
    </row>
    <row r="8" customFormat="false" ht="18" hidden="false" customHeight="true" outlineLevel="0" collapsed="false">
      <c r="B8" s="22" t="s">
        <v>138</v>
      </c>
      <c r="C8" s="36" t="n">
        <v>600</v>
      </c>
      <c r="D8" s="36" t="n">
        <v>700</v>
      </c>
      <c r="E8" s="36" t="n">
        <v>900</v>
      </c>
      <c r="F8" s="10"/>
    </row>
    <row r="9" customFormat="false" ht="18" hidden="false" customHeight="true" outlineLevel="0" collapsed="false">
      <c r="B9" s="20" t="s">
        <v>139</v>
      </c>
      <c r="C9" s="33" t="n">
        <v>340</v>
      </c>
      <c r="D9" s="33" t="n">
        <v>-210</v>
      </c>
      <c r="E9" s="33" t="n">
        <v>230</v>
      </c>
      <c r="F9" s="6"/>
    </row>
    <row r="10" customFormat="false" ht="18" hidden="false" customHeight="true" outlineLevel="0" collapsed="false">
      <c r="B10" s="24" t="s">
        <v>140</v>
      </c>
      <c r="C10" s="25" t="n">
        <v>3585</v>
      </c>
      <c r="D10" s="25" t="n">
        <v>7138</v>
      </c>
      <c r="E10" s="25" t="n">
        <v>10096</v>
      </c>
      <c r="F10" s="25" t="n">
        <f aca="false">AVERAGE(C10:E10)</f>
        <v>6939.66666666667</v>
      </c>
    </row>
    <row r="11" customFormat="false" ht="7.5" hidden="false" customHeight="true" outlineLevel="0" collapsed="false"/>
    <row r="12" customFormat="false" ht="18" hidden="false" customHeight="true" outlineLevel="0" collapsed="false">
      <c r="B12" s="27" t="s">
        <v>141</v>
      </c>
      <c r="C12" s="28"/>
      <c r="D12" s="28"/>
      <c r="E12" s="28"/>
      <c r="F12" s="28"/>
    </row>
    <row r="13" customFormat="false" ht="18" hidden="false" customHeight="true" outlineLevel="0" collapsed="false">
      <c r="B13" s="20" t="s">
        <v>142</v>
      </c>
      <c r="C13" s="33" t="n">
        <v>-223</v>
      </c>
      <c r="D13" s="33" t="n">
        <v>-298</v>
      </c>
      <c r="E13" s="33" t="n">
        <v>-336</v>
      </c>
      <c r="F13" s="6"/>
    </row>
    <row r="14" customFormat="false" ht="18" hidden="false" customHeight="true" outlineLevel="0" collapsed="false">
      <c r="B14" s="22" t="s">
        <v>143</v>
      </c>
      <c r="C14" s="36" t="n">
        <v>-600</v>
      </c>
      <c r="D14" s="36" t="n">
        <v>-400</v>
      </c>
      <c r="E14" s="36" t="n">
        <v>-800</v>
      </c>
      <c r="F14" s="10"/>
    </row>
    <row r="15" customFormat="false" ht="18" hidden="false" customHeight="true" outlineLevel="0" collapsed="false">
      <c r="B15" s="20" t="s">
        <v>144</v>
      </c>
      <c r="C15" s="33" t="n">
        <v>450</v>
      </c>
      <c r="D15" s="33" t="n">
        <v>320</v>
      </c>
      <c r="E15" s="33" t="n">
        <v>-75</v>
      </c>
      <c r="F15" s="6"/>
    </row>
    <row r="16" customFormat="false" ht="18" hidden="false" customHeight="true" outlineLevel="0" collapsed="false">
      <c r="B16" s="24" t="s">
        <v>145</v>
      </c>
      <c r="C16" s="25" t="n">
        <v>-373</v>
      </c>
      <c r="D16" s="25" t="n">
        <v>-378</v>
      </c>
      <c r="E16" s="25" t="n">
        <v>-1211</v>
      </c>
      <c r="F16" s="25" t="n">
        <f aca="false">AVERAGE(C16:E16)</f>
        <v>-654</v>
      </c>
    </row>
    <row r="17" customFormat="false" ht="7.5" hidden="false" customHeight="true" outlineLevel="0" collapsed="false"/>
    <row r="18" customFormat="false" ht="18" hidden="false" customHeight="true" outlineLevel="0" collapsed="false">
      <c r="B18" s="27" t="s">
        <v>146</v>
      </c>
      <c r="C18" s="28"/>
      <c r="D18" s="28"/>
      <c r="E18" s="28"/>
      <c r="F18" s="28"/>
    </row>
    <row r="19" customFormat="false" ht="18" hidden="false" customHeight="true" outlineLevel="0" collapsed="false">
      <c r="B19" s="20" t="s">
        <v>147</v>
      </c>
      <c r="C19" s="33" t="n">
        <v>0</v>
      </c>
      <c r="D19" s="33" t="n">
        <v>-1250</v>
      </c>
      <c r="E19" s="33" t="n">
        <v>-6520</v>
      </c>
      <c r="F19" s="6"/>
    </row>
    <row r="20" customFormat="false" ht="18" hidden="false" customHeight="true" outlineLevel="0" collapsed="false">
      <c r="B20" s="22" t="s">
        <v>148</v>
      </c>
      <c r="C20" s="36" t="n">
        <v>-600</v>
      </c>
      <c r="D20" s="36" t="n">
        <v>-350</v>
      </c>
      <c r="E20" s="36" t="n">
        <v>-500</v>
      </c>
      <c r="F20" s="10"/>
    </row>
    <row r="21" customFormat="false" ht="18" hidden="false" customHeight="true" outlineLevel="0" collapsed="false">
      <c r="B21" s="20" t="s">
        <v>149</v>
      </c>
      <c r="C21" s="21" t="n">
        <v>350</v>
      </c>
      <c r="D21" s="21" t="n">
        <v>280</v>
      </c>
      <c r="E21" s="21" t="n">
        <v>320</v>
      </c>
      <c r="F21" s="6"/>
    </row>
    <row r="22" customFormat="false" ht="18" hidden="false" customHeight="true" outlineLevel="0" collapsed="false">
      <c r="B22" s="22" t="s">
        <v>150</v>
      </c>
      <c r="C22" s="29" t="n">
        <v>0</v>
      </c>
      <c r="D22" s="29" t="n">
        <v>0</v>
      </c>
      <c r="E22" s="29" t="n">
        <v>0</v>
      </c>
      <c r="F22" s="10"/>
    </row>
    <row r="23" customFormat="false" ht="18" hidden="false" customHeight="true" outlineLevel="0" collapsed="false">
      <c r="B23" s="30" t="s">
        <v>151</v>
      </c>
      <c r="C23" s="31" t="n">
        <v>-250</v>
      </c>
      <c r="D23" s="31" t="n">
        <v>-1320</v>
      </c>
      <c r="E23" s="31" t="n">
        <v>-6700</v>
      </c>
      <c r="F23" s="31" t="n">
        <f aca="false">AVERAGE(C23:E23)</f>
        <v>-2756.66666666667</v>
      </c>
    </row>
    <row r="24" customFormat="false" ht="7.5" hidden="false" customHeight="true" outlineLevel="0" collapsed="false"/>
    <row r="25" customFormat="false" ht="18" hidden="false" customHeight="true" outlineLevel="0" collapsed="false">
      <c r="B25" s="27" t="s">
        <v>152</v>
      </c>
      <c r="C25" s="28"/>
      <c r="D25" s="28"/>
      <c r="E25" s="28"/>
      <c r="F25" s="28"/>
    </row>
    <row r="26" customFormat="false" ht="18" hidden="false" customHeight="true" outlineLevel="0" collapsed="false">
      <c r="B26" s="30" t="s">
        <v>153</v>
      </c>
      <c r="C26" s="31" t="n">
        <f aca="false">C10+C13</f>
        <v>3362</v>
      </c>
      <c r="D26" s="31" t="n">
        <f aca="false">D10+D13</f>
        <v>6840</v>
      </c>
      <c r="E26" s="31" t="n">
        <f aca="false">E10+E13</f>
        <v>9760</v>
      </c>
      <c r="F26" s="31" t="n">
        <f aca="false">AVERAGE(C26:E26)</f>
        <v>6654</v>
      </c>
    </row>
    <row r="27" customFormat="false" ht="18" hidden="false" customHeight="true" outlineLevel="0" collapsed="false">
      <c r="B27" s="22" t="s">
        <v>154</v>
      </c>
      <c r="C27" s="40" t="n">
        <f aca="false">C26/'Income Statement'!F4</f>
        <v>0.0901799844424774</v>
      </c>
      <c r="D27" s="40" t="n">
        <f aca="false">D26/'Income Statement'!G4</f>
        <v>0.155532311610351</v>
      </c>
      <c r="E27" s="40" t="n">
        <f aca="false">E26/'Income Statement'!H4</f>
        <v>0.187703136719426</v>
      </c>
      <c r="F27" s="10"/>
    </row>
    <row r="28" customFormat="false" ht="18" hidden="false" customHeight="true" outlineLevel="0" collapsed="false">
      <c r="B28" s="20" t="s">
        <v>155</v>
      </c>
      <c r="C28" s="26" t="n">
        <f aca="false">IF(C5&lt;&gt;0,C26/C5,0)</f>
        <v>1.78166401695813</v>
      </c>
      <c r="D28" s="26" t="n">
        <f aca="false">IF(D5&lt;&gt;0,D26/D5,0)</f>
        <v>0.693993506493506</v>
      </c>
      <c r="E28" s="26" t="n">
        <f aca="false">IF(E5&lt;&gt;0,E26/E5,0)</f>
        <v>0.970661362506216</v>
      </c>
      <c r="F28" s="6"/>
    </row>
    <row r="29" customFormat="false" ht="7.5" hidden="false" customHeight="true" outlineLevel="0" collapsed="false"/>
    <row r="30" customFormat="false" ht="18" hidden="false" customHeight="true" outlineLevel="0" collapsed="false">
      <c r="B30" s="27" t="s">
        <v>156</v>
      </c>
      <c r="C30" s="28"/>
      <c r="D30" s="28"/>
      <c r="E30" s="28"/>
      <c r="F30" s="28"/>
    </row>
    <row r="31" customFormat="false" ht="18" hidden="false" customHeight="true" outlineLevel="0" collapsed="false">
      <c r="B31" s="20" t="s">
        <v>157</v>
      </c>
      <c r="C31" s="21" t="n">
        <v>0</v>
      </c>
      <c r="D31" s="21" t="n">
        <v>1250</v>
      </c>
      <c r="E31" s="21" t="n">
        <v>6520</v>
      </c>
      <c r="F31" s="6"/>
    </row>
    <row r="32" customFormat="false" ht="18" hidden="false" customHeight="true" outlineLevel="0" collapsed="false">
      <c r="B32" s="22" t="s">
        <v>158</v>
      </c>
      <c r="C32" s="29" t="n">
        <v>0</v>
      </c>
      <c r="D32" s="29" t="n">
        <v>0</v>
      </c>
      <c r="E32" s="29" t="n">
        <v>0</v>
      </c>
      <c r="F32" s="10"/>
    </row>
    <row r="33" customFormat="false" ht="18" hidden="false" customHeight="true" outlineLevel="0" collapsed="false">
      <c r="B33" s="30" t="s">
        <v>159</v>
      </c>
      <c r="C33" s="41" t="n">
        <f aca="false">C31+C32</f>
        <v>0</v>
      </c>
      <c r="D33" s="41" t="n">
        <f aca="false">D31+D32</f>
        <v>1250</v>
      </c>
      <c r="E33" s="41" t="n">
        <f aca="false">E31+E32</f>
        <v>6520</v>
      </c>
      <c r="F33" s="41" t="n">
        <f aca="false">AVERAGE(C33:E33)</f>
        <v>2590</v>
      </c>
    </row>
    <row r="34" customFormat="false" ht="18" hidden="false" customHeight="true" outlineLevel="0" collapsed="false">
      <c r="B34" s="22" t="s">
        <v>160</v>
      </c>
      <c r="C34" s="29" t="n">
        <v>223</v>
      </c>
      <c r="D34" s="29" t="n">
        <v>298</v>
      </c>
      <c r="E34" s="29" t="n">
        <v>336</v>
      </c>
      <c r="F34" s="10"/>
    </row>
    <row r="35" customFormat="false" ht="18" hidden="false" customHeight="true" outlineLevel="0" collapsed="false">
      <c r="B35" s="20" t="s">
        <v>161</v>
      </c>
      <c r="C35" s="6"/>
      <c r="D35" s="6"/>
      <c r="E35" s="6"/>
      <c r="F35" s="6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6" min="3" style="1" width="16"/>
    <col collapsed="false" customWidth="true" hidden="false" outlineLevel="0" max="7" min="7" style="1" width="18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162</v>
      </c>
      <c r="C2" s="18"/>
      <c r="D2" s="18"/>
      <c r="E2" s="18"/>
      <c r="F2" s="18"/>
      <c r="G2" s="18"/>
    </row>
    <row r="3" customFormat="false" ht="15.75" hidden="false" customHeight="true" outlineLevel="0" collapsed="false">
      <c r="B3" s="42" t="s">
        <v>163</v>
      </c>
      <c r="C3" s="42"/>
      <c r="D3" s="42"/>
      <c r="E3" s="42"/>
      <c r="F3" s="42"/>
      <c r="G3" s="42"/>
    </row>
    <row r="4" customFormat="false" ht="21.75" hidden="false" customHeight="true" outlineLevel="0" collapsed="false">
      <c r="B4" s="19" t="s">
        <v>164</v>
      </c>
      <c r="C4" s="19" t="s">
        <v>131</v>
      </c>
      <c r="D4" s="19" t="s">
        <v>132</v>
      </c>
      <c r="E4" s="19" t="s">
        <v>133</v>
      </c>
      <c r="F4" s="19" t="s">
        <v>134</v>
      </c>
      <c r="G4" s="19" t="s">
        <v>165</v>
      </c>
    </row>
    <row r="5" customFormat="false" ht="21.75" hidden="false" customHeight="true" outlineLevel="0" collapsed="false">
      <c r="B5" s="43" t="s">
        <v>166</v>
      </c>
      <c r="C5" s="44" t="n">
        <f aca="false">('Income Statement'!F4-'Income Statement'!E4)/'Income Statement'!E4</f>
        <v>0.169526617937698</v>
      </c>
      <c r="D5" s="44" t="n">
        <f aca="false">('Income Statement'!G4-'Income Statement'!F4)/'Income Statement'!F4</f>
        <v>0.179635739384673</v>
      </c>
      <c r="E5" s="44" t="n">
        <f aca="false">('Income Statement'!H4-'Income Statement'!G4)/'Income Statement'!G4</f>
        <v>0.182341170585293</v>
      </c>
      <c r="F5" s="45" t="n">
        <f aca="false">AVERAGE(C5:E5)</f>
        <v>0.177167842635888</v>
      </c>
      <c r="G5" s="38" t="s">
        <v>167</v>
      </c>
    </row>
    <row r="6" customFormat="false" ht="21.75" hidden="false" customHeight="true" outlineLevel="0" collapsed="false">
      <c r="B6" s="46" t="s">
        <v>168</v>
      </c>
      <c r="C6" s="40" t="n">
        <f aca="false">'Income Statement'!F7/'Income Statement'!F4</f>
        <v>0.285480539685094</v>
      </c>
      <c r="D6" s="40" t="n">
        <f aca="false">'Income Statement'!G7/'Income Statement'!G4</f>
        <v>0.298376460957752</v>
      </c>
      <c r="E6" s="40" t="n">
        <f aca="false">'Income Statement'!H7/'Income Statement'!H4</f>
        <v>0.298536454026194</v>
      </c>
      <c r="F6" s="47" t="n">
        <f aca="false">AVERAGE(C6:E6)</f>
        <v>0.294131151556347</v>
      </c>
      <c r="G6" s="37" t="s">
        <v>169</v>
      </c>
    </row>
    <row r="7" customFormat="false" ht="21.75" hidden="false" customHeight="true" outlineLevel="0" collapsed="false">
      <c r="B7" s="43" t="s">
        <v>170</v>
      </c>
      <c r="C7" s="44" t="n">
        <f aca="false">'Income Statement'!F16/'Income Statement'!F4</f>
        <v>0.0297738794560232</v>
      </c>
      <c r="D7" s="44" t="n">
        <f aca="false">'Income Statement'!G16/'Income Statement'!G4</f>
        <v>0.0636227204511347</v>
      </c>
      <c r="E7" s="44" t="n">
        <f aca="false">'Income Statement'!H16/'Income Statement'!H4</f>
        <v>0.107179260341943</v>
      </c>
      <c r="F7" s="48" t="n">
        <f aca="false">AVERAGE(C7:E7)</f>
        <v>0.0668586200830336</v>
      </c>
      <c r="G7" s="38" t="s">
        <v>171</v>
      </c>
    </row>
    <row r="8" customFormat="false" ht="21.75" hidden="false" customHeight="true" outlineLevel="0" collapsed="false">
      <c r="B8" s="46" t="s">
        <v>172</v>
      </c>
      <c r="C8" s="40" t="n">
        <f aca="false">'Income Statement'!F26/'Income Statement'!F4</f>
        <v>0.0506155950752394</v>
      </c>
      <c r="D8" s="40" t="n">
        <f aca="false">'Income Statement'!G26/'Income Statement'!G4</f>
        <v>0.224112056028014</v>
      </c>
      <c r="E8" s="40" t="n">
        <f aca="false">'Income Statement'!H26/'Income Statement'!H4</f>
        <v>0.193376540954286</v>
      </c>
      <c r="F8" s="47" t="n">
        <f aca="false">AVERAGE(C8:E8)</f>
        <v>0.156034730685846</v>
      </c>
      <c r="G8" s="37" t="s">
        <v>173</v>
      </c>
    </row>
    <row r="9" customFormat="false" ht="21.75" hidden="false" customHeight="true" outlineLevel="0" collapsed="false">
      <c r="B9" s="43" t="s">
        <v>174</v>
      </c>
      <c r="C9" s="49" t="n">
        <v>1.8</v>
      </c>
      <c r="D9" s="49" t="n">
        <v>0.3</v>
      </c>
      <c r="E9" s="49" t="n">
        <v>-0.2</v>
      </c>
      <c r="F9" s="50" t="n">
        <f aca="false">AVERAGE(C9:E9)</f>
        <v>0.633333333333333</v>
      </c>
      <c r="G9" s="38" t="s">
        <v>175</v>
      </c>
    </row>
    <row r="10" customFormat="false" ht="21.75" hidden="false" customHeight="true" outlineLevel="0" collapsed="false">
      <c r="B10" s="46" t="s">
        <v>176</v>
      </c>
      <c r="C10" s="51" t="n">
        <v>1.6</v>
      </c>
      <c r="D10" s="51" t="n">
        <v>1.7</v>
      </c>
      <c r="E10" s="51" t="n">
        <v>1.6</v>
      </c>
      <c r="F10" s="52" t="n">
        <f aca="false">AVERAGE(C10:E10)</f>
        <v>1.63333333333333</v>
      </c>
      <c r="G10" s="37" t="s">
        <v>177</v>
      </c>
    </row>
    <row r="11" customFormat="false" ht="21.75" hidden="false" customHeight="true" outlineLevel="0" collapsed="false">
      <c r="B11" s="43" t="s">
        <v>178</v>
      </c>
      <c r="C11" s="53" t="n">
        <f aca="false">'Income Statement'!F16/ABS('Income Statement'!F20)</f>
        <v>1.8655462184874</v>
      </c>
      <c r="D11" s="53" t="n">
        <f aca="false">'Income Statement'!G16/ABS('Income Statement'!G20)</f>
        <v>4.44126984126984</v>
      </c>
      <c r="E11" s="53" t="n">
        <f aca="false">'Income Statement'!H16/ABS('Income Statement'!H20)</f>
        <v>9.3506711409396</v>
      </c>
      <c r="F11" s="54" t="n">
        <f aca="false">AVERAGE(C11:E11)</f>
        <v>5.21916240023228</v>
      </c>
      <c r="G11" s="38" t="s">
        <v>179</v>
      </c>
    </row>
    <row r="12" customFormat="false" ht="21.75" hidden="false" customHeight="true" outlineLevel="0" collapsed="false">
      <c r="B12" s="46" t="s">
        <v>180</v>
      </c>
      <c r="C12" s="40" t="n">
        <f aca="false">IF('Cash Flow'!C5&lt;&gt;0,'Cash Flow'!C22/'Cash Flow'!C5,0)</f>
        <v>0</v>
      </c>
      <c r="D12" s="40" t="n">
        <f aca="false">IF('Cash Flow'!D5&lt;&gt;0,'Cash Flow'!D22/'Cash Flow'!D5,0)</f>
        <v>0</v>
      </c>
      <c r="E12" s="40" t="n">
        <f aca="false">IF('Cash Flow'!E5&lt;&gt;0,'Cash Flow'!E22/'Cash Flow'!E5,0)</f>
        <v>0</v>
      </c>
      <c r="F12" s="47" t="n">
        <f aca="false">AVERAGE(C12:E12)</f>
        <v>0</v>
      </c>
      <c r="G12" s="37" t="s">
        <v>181</v>
      </c>
    </row>
    <row r="13" customFormat="false" ht="21.75" hidden="false" customHeight="true" outlineLevel="0" collapsed="false">
      <c r="B13" s="43" t="s">
        <v>182</v>
      </c>
      <c r="C13" s="55" t="n">
        <v>0.07548</v>
      </c>
      <c r="D13" s="55" t="n">
        <v>0.39424</v>
      </c>
      <c r="E13" s="55" t="n">
        <v>0.4022</v>
      </c>
      <c r="F13" s="48" t="n">
        <f aca="false">AVERAGE(C13:E13)</f>
        <v>0.29064</v>
      </c>
      <c r="G13" s="38" t="s">
        <v>183</v>
      </c>
    </row>
    <row r="14" customFormat="false" ht="21.75" hidden="false" customHeight="true" outlineLevel="0" collapsed="false">
      <c r="B14" s="46" t="s">
        <v>184</v>
      </c>
      <c r="C14" s="56" t="n">
        <v>0.03774</v>
      </c>
      <c r="D14" s="56" t="n">
        <v>0.19712</v>
      </c>
      <c r="E14" s="56" t="n">
        <v>0.2011</v>
      </c>
      <c r="F14" s="47" t="n">
        <f aca="false">AVERAGE(C14:E14)</f>
        <v>0.14532</v>
      </c>
      <c r="G14" s="37" t="s">
        <v>185</v>
      </c>
    </row>
    <row r="15" customFormat="false" ht="21.75" hidden="false" customHeight="true" outlineLevel="0" collapsed="false">
      <c r="B15" s="43" t="s">
        <v>186</v>
      </c>
      <c r="C15" s="55" t="n">
        <v>0.082</v>
      </c>
      <c r="D15" s="55" t="n">
        <v>0.147</v>
      </c>
      <c r="E15" s="55" t="n">
        <v>0.221</v>
      </c>
      <c r="F15" s="45" t="n">
        <f aca="false">AVERAGE(C15:E15)</f>
        <v>0.15</v>
      </c>
      <c r="G15" s="38" t="s">
        <v>187</v>
      </c>
    </row>
    <row r="18" customFormat="false" ht="34.5" hidden="false" customHeight="true" outlineLevel="0" collapsed="false">
      <c r="B18" s="57" t="s">
        <v>188</v>
      </c>
      <c r="C18" s="57"/>
      <c r="D18" s="57"/>
      <c r="E18" s="57"/>
      <c r="F18" s="57"/>
      <c r="G18" s="57"/>
    </row>
  </sheetData>
  <mergeCells count="3">
    <mergeCell ref="B2:G2"/>
    <mergeCell ref="B3:G3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2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189</v>
      </c>
      <c r="C2" s="18"/>
      <c r="D2" s="18"/>
      <c r="E2" s="18"/>
      <c r="F2" s="18"/>
      <c r="G2" s="18"/>
    </row>
    <row r="3" customFormat="false" ht="21.75" hidden="false" customHeight="true" outlineLevel="0" collapsed="false">
      <c r="B3" s="58" t="s">
        <v>190</v>
      </c>
      <c r="C3" s="58"/>
      <c r="D3" s="58"/>
      <c r="E3" s="58"/>
      <c r="F3" s="58"/>
      <c r="G3" s="58"/>
    </row>
    <row r="4" customFormat="false" ht="21.75" hidden="false" customHeight="true" outlineLevel="0" collapsed="false">
      <c r="B4" s="19" t="s">
        <v>191</v>
      </c>
      <c r="C4" s="19" t="s">
        <v>131</v>
      </c>
      <c r="D4" s="19" t="s">
        <v>132</v>
      </c>
      <c r="E4" s="19" t="s">
        <v>133</v>
      </c>
      <c r="F4" s="19" t="s">
        <v>134</v>
      </c>
      <c r="G4" s="19" t="s">
        <v>83</v>
      </c>
    </row>
    <row r="5" customFormat="false" ht="18" hidden="false" customHeight="true" outlineLevel="0" collapsed="false">
      <c r="B5" s="27" t="s">
        <v>192</v>
      </c>
      <c r="C5" s="28"/>
      <c r="D5" s="28"/>
      <c r="E5" s="28"/>
      <c r="F5" s="28"/>
      <c r="G5" s="28"/>
    </row>
    <row r="6" customFormat="false" ht="18" hidden="false" customHeight="true" outlineLevel="0" collapsed="false">
      <c r="B6" s="20" t="s">
        <v>193</v>
      </c>
      <c r="C6" s="33" t="n">
        <v>1110</v>
      </c>
      <c r="D6" s="33" t="n">
        <v>2798</v>
      </c>
      <c r="E6" s="33" t="n">
        <v>5573</v>
      </c>
      <c r="F6" s="6"/>
      <c r="G6" s="38" t="s">
        <v>194</v>
      </c>
    </row>
    <row r="7" customFormat="false" ht="18" hidden="false" customHeight="true" outlineLevel="0" collapsed="false">
      <c r="B7" s="22" t="s">
        <v>195</v>
      </c>
      <c r="C7" s="56" t="n">
        <v>0.21</v>
      </c>
      <c r="D7" s="56" t="n">
        <v>0.21</v>
      </c>
      <c r="E7" s="56" t="n">
        <v>0.21</v>
      </c>
      <c r="F7" s="10"/>
      <c r="G7" s="37" t="s">
        <v>196</v>
      </c>
    </row>
    <row r="8" customFormat="false" ht="18" hidden="false" customHeight="true" outlineLevel="0" collapsed="false">
      <c r="B8" s="30" t="s">
        <v>197</v>
      </c>
      <c r="C8" s="31" t="n">
        <f aca="false">C6*(1-C7)</f>
        <v>876.9</v>
      </c>
      <c r="D8" s="31" t="n">
        <f aca="false">D6*(1-D7)</f>
        <v>2210.42</v>
      </c>
      <c r="E8" s="31" t="n">
        <f aca="false">E6*(1-E7)</f>
        <v>4402.67</v>
      </c>
      <c r="F8" s="31" t="n">
        <f aca="false">AVERAGE(C8:E8)</f>
        <v>2496.66333333333</v>
      </c>
      <c r="G8" s="38" t="s">
        <v>198</v>
      </c>
    </row>
    <row r="9" customFormat="false" ht="7.5" hidden="false" customHeight="true" outlineLevel="0" collapsed="false"/>
    <row r="10" customFormat="false" ht="18" hidden="false" customHeight="true" outlineLevel="0" collapsed="false">
      <c r="B10" s="27" t="s">
        <v>199</v>
      </c>
      <c r="C10" s="28"/>
      <c r="D10" s="28"/>
      <c r="E10" s="28"/>
      <c r="F10" s="28"/>
      <c r="G10" s="28"/>
    </row>
    <row r="11" customFormat="false" ht="18" hidden="false" customHeight="true" outlineLevel="0" collapsed="false">
      <c r="B11" s="20" t="s">
        <v>126</v>
      </c>
      <c r="C11" s="21" t="n">
        <v>25000</v>
      </c>
      <c r="D11" s="21" t="n">
        <v>24000</v>
      </c>
      <c r="E11" s="21" t="n">
        <v>23000</v>
      </c>
      <c r="F11" s="6"/>
      <c r="G11" s="38" t="s">
        <v>200</v>
      </c>
    </row>
    <row r="12" customFormat="false" ht="18" hidden="false" customHeight="true" outlineLevel="0" collapsed="false">
      <c r="B12" s="22" t="s">
        <v>201</v>
      </c>
      <c r="C12" s="29" t="n">
        <v>10000</v>
      </c>
      <c r="D12" s="29" t="n">
        <v>10000</v>
      </c>
      <c r="E12" s="29" t="n">
        <v>10000</v>
      </c>
      <c r="F12" s="10"/>
      <c r="G12" s="37" t="s">
        <v>202</v>
      </c>
    </row>
    <row r="13" customFormat="false" ht="18" hidden="false" customHeight="true" outlineLevel="0" collapsed="false">
      <c r="B13" s="20" t="s">
        <v>203</v>
      </c>
      <c r="C13" s="33" t="n">
        <v>-8500</v>
      </c>
      <c r="D13" s="33" t="n">
        <v>-7000</v>
      </c>
      <c r="E13" s="33" t="n">
        <v>-6000</v>
      </c>
      <c r="F13" s="6"/>
      <c r="G13" s="38" t="s">
        <v>204</v>
      </c>
    </row>
    <row r="14" customFormat="false" ht="18" hidden="false" customHeight="true" outlineLevel="0" collapsed="false">
      <c r="B14" s="22" t="s">
        <v>205</v>
      </c>
      <c r="C14" s="36" t="n">
        <v>-7000</v>
      </c>
      <c r="D14" s="36" t="n">
        <v>-6000</v>
      </c>
      <c r="E14" s="36" t="n">
        <v>-5000</v>
      </c>
      <c r="F14" s="10"/>
      <c r="G14" s="37" t="s">
        <v>206</v>
      </c>
    </row>
    <row r="15" customFormat="false" ht="18" hidden="false" customHeight="true" outlineLevel="0" collapsed="false">
      <c r="B15" s="30" t="s">
        <v>207</v>
      </c>
      <c r="C15" s="41" t="n">
        <f aca="false">C11+C12+C13+C14</f>
        <v>19500</v>
      </c>
      <c r="D15" s="41" t="n">
        <f aca="false">D11+D12+D13+D14</f>
        <v>21000</v>
      </c>
      <c r="E15" s="41" t="n">
        <f aca="false">E11+E12+E13+E14</f>
        <v>22000</v>
      </c>
      <c r="F15" s="41" t="n">
        <f aca="false">AVERAGE(C15:E15)</f>
        <v>20833.3333333333</v>
      </c>
      <c r="G15" s="38" t="s">
        <v>208</v>
      </c>
    </row>
    <row r="16" customFormat="false" ht="7.5" hidden="false" customHeight="true" outlineLevel="0" collapsed="false"/>
    <row r="17" customFormat="false" ht="18" hidden="false" customHeight="true" outlineLevel="0" collapsed="false">
      <c r="B17" s="27" t="s">
        <v>209</v>
      </c>
      <c r="C17" s="28"/>
      <c r="D17" s="28"/>
      <c r="E17" s="28"/>
      <c r="F17" s="28"/>
      <c r="G17" s="28"/>
    </row>
    <row r="18" customFormat="false" ht="18" hidden="false" customHeight="true" outlineLevel="0" collapsed="false">
      <c r="B18" s="30" t="s">
        <v>210</v>
      </c>
      <c r="C18" s="45" t="n">
        <f aca="false">IF(C15&lt;&gt;0,C8/C15,0)</f>
        <v>0.0449692307692308</v>
      </c>
      <c r="D18" s="45" t="n">
        <f aca="false">IF(D15&lt;&gt;0,D8/D15,0)</f>
        <v>0.105258095238095</v>
      </c>
      <c r="E18" s="45" t="n">
        <f aca="false">IF(E15&lt;&gt;0,E8/E15,0)</f>
        <v>0.200121363636364</v>
      </c>
      <c r="F18" s="45" t="n">
        <f aca="false">AVERAGE(C18:E18)</f>
        <v>0.116782896547897</v>
      </c>
      <c r="G18" s="38" t="s">
        <v>211</v>
      </c>
    </row>
    <row r="19" customFormat="false" ht="7.5" hidden="false" customHeight="true" outlineLevel="0" collapsed="false"/>
    <row r="20" customFormat="false" ht="18" hidden="false" customHeight="true" outlineLevel="0" collapsed="false">
      <c r="B20" s="27" t="s">
        <v>212</v>
      </c>
      <c r="C20" s="28"/>
      <c r="D20" s="28"/>
      <c r="E20" s="28"/>
      <c r="F20" s="28"/>
      <c r="G20" s="28"/>
    </row>
    <row r="21" customFormat="false" ht="18" hidden="false" customHeight="true" outlineLevel="0" collapsed="false">
      <c r="B21" s="30" t="s">
        <v>213</v>
      </c>
      <c r="C21" s="59" t="n">
        <f aca="false">AVERAGE(C18:E18)</f>
        <v>0.116782896547897</v>
      </c>
      <c r="D21" s="60" t="s">
        <v>214</v>
      </c>
      <c r="E21" s="6"/>
      <c r="F21" s="6"/>
      <c r="G21" s="38" t="s">
        <v>215</v>
      </c>
    </row>
    <row r="22" customFormat="false" ht="7.5" hidden="false" customHeight="true" outlineLevel="0" collapsed="false"/>
    <row r="23" customFormat="false" ht="18" hidden="false" customHeight="true" outlineLevel="0" collapsed="false">
      <c r="B23" s="22" t="s">
        <v>216</v>
      </c>
      <c r="C23" s="56" t="n">
        <v>0.095</v>
      </c>
      <c r="D23" s="56" t="n">
        <v>0.095</v>
      </c>
      <c r="E23" s="56" t="n">
        <v>0.095</v>
      </c>
      <c r="F23" s="10"/>
      <c r="G23" s="37" t="s">
        <v>217</v>
      </c>
    </row>
    <row r="24" customFormat="false" ht="18" hidden="false" customHeight="true" outlineLevel="0" collapsed="false">
      <c r="B24" s="20" t="s">
        <v>218</v>
      </c>
      <c r="C24" s="26" t="n">
        <f aca="false">C18-C23</f>
        <v>-0.0500307692307692</v>
      </c>
      <c r="D24" s="26" t="n">
        <f aca="false">D18-D23</f>
        <v>0.0102580952380952</v>
      </c>
      <c r="E24" s="26" t="n">
        <f aca="false">E18-E23</f>
        <v>0.105121363636364</v>
      </c>
      <c r="F24" s="45" t="n">
        <f aca="false">AVERAGE(C24:E24)</f>
        <v>0.0217828965478966</v>
      </c>
      <c r="G24" s="38" t="s">
        <v>219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8" min="3" style="1" width="14"/>
    <col collapsed="false" customWidth="true" hidden="false" outlineLevel="0" max="9" min="9" style="1" width="4"/>
    <col collapsed="false" customWidth="true" hidden="false" outlineLevel="0" max="10" min="10" style="1" width="20"/>
    <col collapsed="false" customWidth="true" hidden="false" outlineLevel="0" max="11" min="11" style="1" width="2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220</v>
      </c>
      <c r="C2" s="18"/>
      <c r="D2" s="18"/>
      <c r="E2" s="18"/>
      <c r="F2" s="18"/>
      <c r="G2" s="18"/>
      <c r="H2" s="18"/>
      <c r="I2" s="18"/>
      <c r="J2" s="18"/>
      <c r="K2" s="18"/>
    </row>
    <row r="3" customFormat="false" ht="27.75" hidden="false" customHeight="true" outlineLevel="0" collapsed="false">
      <c r="B3" s="61" t="s">
        <v>221</v>
      </c>
      <c r="C3" s="61"/>
      <c r="D3" s="61"/>
      <c r="E3" s="61"/>
      <c r="F3" s="61"/>
      <c r="G3" s="61"/>
      <c r="H3" s="61"/>
      <c r="I3" s="61"/>
      <c r="J3" s="61"/>
      <c r="K3" s="61"/>
    </row>
    <row r="4" customFormat="false" ht="24" hidden="false" customHeight="true" outlineLevel="0" collapsed="false">
      <c r="B4" s="19" t="s">
        <v>191</v>
      </c>
      <c r="C4" s="19" t="s">
        <v>45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62"/>
      <c r="J4" s="63" t="s">
        <v>222</v>
      </c>
      <c r="K4" s="19" t="s">
        <v>83</v>
      </c>
    </row>
    <row r="5" customFormat="false" ht="18" hidden="false" customHeight="true" outlineLevel="0" collapsed="false">
      <c r="B5" s="27" t="s">
        <v>223</v>
      </c>
      <c r="C5" s="28"/>
      <c r="D5" s="28"/>
      <c r="E5" s="28"/>
      <c r="F5" s="28"/>
      <c r="G5" s="28"/>
      <c r="H5" s="28"/>
      <c r="I5" s="28"/>
      <c r="J5" s="28"/>
      <c r="K5" s="28"/>
    </row>
    <row r="6" customFormat="false" ht="18" hidden="false" customHeight="true" outlineLevel="0" collapsed="false">
      <c r="B6" s="20" t="s">
        <v>224</v>
      </c>
      <c r="C6" s="21" t="n">
        <v>11139</v>
      </c>
      <c r="D6" s="21" t="n">
        <v>17455</v>
      </c>
      <c r="E6" s="21" t="n">
        <v>31877</v>
      </c>
      <c r="F6" s="21" t="n">
        <v>37281</v>
      </c>
      <c r="G6" s="21" t="n">
        <v>43978</v>
      </c>
      <c r="H6" s="21" t="n">
        <v>51997</v>
      </c>
      <c r="J6" s="64" t="n">
        <v>51997</v>
      </c>
      <c r="K6" s="38" t="s">
        <v>225</v>
      </c>
    </row>
    <row r="7" customFormat="false" ht="18" hidden="false" customHeight="true" outlineLevel="0" collapsed="false">
      <c r="B7" s="22" t="s">
        <v>62</v>
      </c>
      <c r="C7" s="36" t="n">
        <v>-4863</v>
      </c>
      <c r="D7" s="36" t="n">
        <v>-3824</v>
      </c>
      <c r="E7" s="36" t="n">
        <v>-1832</v>
      </c>
      <c r="F7" s="36" t="n">
        <v>1110</v>
      </c>
      <c r="G7" s="36" t="n">
        <v>2798</v>
      </c>
      <c r="H7" s="36" t="n">
        <v>5573</v>
      </c>
      <c r="J7" s="65" t="n">
        <v>5573</v>
      </c>
      <c r="K7" s="37" t="s">
        <v>226</v>
      </c>
    </row>
    <row r="8" customFormat="false" ht="18" hidden="false" customHeight="true" outlineLevel="0" collapsed="false">
      <c r="B8" s="20" t="s">
        <v>227</v>
      </c>
      <c r="C8" s="26" t="n">
        <f aca="false">C7/C6</f>
        <v>-0.43657419876111</v>
      </c>
      <c r="D8" s="26" t="n">
        <f aca="false">D7/D6</f>
        <v>-0.219077628186766</v>
      </c>
      <c r="E8" s="26" t="n">
        <f aca="false">E7/E6</f>
        <v>-0.0574709037864291</v>
      </c>
      <c r="F8" s="26" t="n">
        <f aca="false">F7/F6</f>
        <v>0.0297738794560232</v>
      </c>
      <c r="G8" s="26" t="n">
        <f aca="false">G7/G6</f>
        <v>0.0636227204511347</v>
      </c>
      <c r="H8" s="26" t="n">
        <f aca="false">H7/H6</f>
        <v>0.107179260341943</v>
      </c>
      <c r="J8" s="6"/>
      <c r="K8" s="38" t="s">
        <v>228</v>
      </c>
    </row>
    <row r="9" customFormat="false" ht="7.5" hidden="false" customHeight="true" outlineLevel="0" collapsed="false"/>
    <row r="10" customFormat="false" ht="18" hidden="false" customHeight="true" outlineLevel="0" collapsed="false">
      <c r="B10" s="27" t="s">
        <v>229</v>
      </c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18" hidden="false" customHeight="true" outlineLevel="0" collapsed="false">
      <c r="B11" s="20" t="s">
        <v>230</v>
      </c>
      <c r="C11" s="21" t="n">
        <v>850</v>
      </c>
      <c r="D11" s="21" t="n">
        <v>900</v>
      </c>
      <c r="E11" s="21" t="n">
        <v>450</v>
      </c>
      <c r="F11" s="21" t="n">
        <v>0</v>
      </c>
      <c r="G11" s="21" t="n">
        <v>0</v>
      </c>
      <c r="H11" s="21" t="n">
        <v>0</v>
      </c>
      <c r="J11" s="64" t="n">
        <v>0</v>
      </c>
      <c r="K11" s="38" t="s">
        <v>231</v>
      </c>
    </row>
    <row r="12" customFormat="false" ht="18" hidden="false" customHeight="true" outlineLevel="0" collapsed="false">
      <c r="B12" s="22" t="s">
        <v>232</v>
      </c>
      <c r="C12" s="29" t="n">
        <v>1400</v>
      </c>
      <c r="D12" s="29" t="n">
        <v>1100</v>
      </c>
      <c r="E12" s="29" t="n">
        <v>1200</v>
      </c>
      <c r="F12" s="29" t="n">
        <v>0</v>
      </c>
      <c r="G12" s="29" t="n">
        <v>0</v>
      </c>
      <c r="H12" s="29" t="n">
        <v>0</v>
      </c>
      <c r="J12" s="64" t="n">
        <v>0</v>
      </c>
      <c r="K12" s="37" t="s">
        <v>233</v>
      </c>
    </row>
    <row r="13" customFormat="false" ht="18" hidden="false" customHeight="true" outlineLevel="0" collapsed="false">
      <c r="B13" s="20" t="s">
        <v>234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-5764</v>
      </c>
      <c r="H13" s="33" t="n">
        <v>-4351</v>
      </c>
      <c r="J13" s="65" t="n">
        <v>0</v>
      </c>
      <c r="K13" s="38" t="s">
        <v>235</v>
      </c>
    </row>
    <row r="14" customFormat="false" ht="18" hidden="false" customHeight="true" outlineLevel="0" collapsed="false">
      <c r="B14" s="24" t="s">
        <v>236</v>
      </c>
      <c r="C14" s="25" t="n">
        <f aca="false">C11+C12</f>
        <v>2250</v>
      </c>
      <c r="D14" s="25" t="n">
        <f aca="false">D11+D12</f>
        <v>2000</v>
      </c>
      <c r="E14" s="25" t="n">
        <f aca="false">E11+E12</f>
        <v>1650</v>
      </c>
      <c r="F14" s="25" t="n">
        <f aca="false">F11+F12</f>
        <v>0</v>
      </c>
      <c r="G14" s="25" t="n">
        <f aca="false">G11+G12</f>
        <v>0</v>
      </c>
      <c r="H14" s="25" t="n">
        <f aca="false">H11+H12</f>
        <v>0</v>
      </c>
      <c r="J14" s="10"/>
      <c r="K14" s="10"/>
    </row>
    <row r="15" customFormat="false" ht="18" hidden="false" customHeight="true" outlineLevel="0" collapsed="false">
      <c r="B15" s="30" t="s">
        <v>237</v>
      </c>
      <c r="C15" s="31" t="n">
        <f aca="false">C7+C14</f>
        <v>-2613</v>
      </c>
      <c r="D15" s="31" t="n">
        <f aca="false">D7+D14</f>
        <v>-1824</v>
      </c>
      <c r="E15" s="31" t="n">
        <f aca="false">E7+E14</f>
        <v>-182</v>
      </c>
      <c r="F15" s="31" t="n">
        <f aca="false">F7+F14</f>
        <v>1110</v>
      </c>
      <c r="G15" s="31" t="n">
        <f aca="false">G7+G14</f>
        <v>2798</v>
      </c>
      <c r="H15" s="31" t="n">
        <f aca="false">H7+H14</f>
        <v>5573</v>
      </c>
      <c r="J15" s="6"/>
      <c r="K15" s="6"/>
    </row>
    <row r="16" customFormat="false" ht="7.5" hidden="false" customHeight="true" outlineLevel="0" collapsed="false"/>
    <row r="17" customFormat="false" ht="18" hidden="false" customHeight="true" outlineLevel="0" collapsed="false">
      <c r="B17" s="27" t="s">
        <v>238</v>
      </c>
      <c r="C17" s="28"/>
      <c r="D17" s="28"/>
      <c r="E17" s="28"/>
      <c r="F17" s="28"/>
      <c r="G17" s="28"/>
      <c r="H17" s="28"/>
      <c r="I17" s="28"/>
      <c r="J17" s="28"/>
      <c r="K17" s="28"/>
    </row>
    <row r="18" customFormat="false" ht="18" hidden="false" customHeight="true" outlineLevel="0" collapsed="false">
      <c r="B18" s="20" t="s">
        <v>195</v>
      </c>
      <c r="C18" s="55" t="n">
        <v>0.21</v>
      </c>
      <c r="D18" s="55" t="n">
        <v>0.21</v>
      </c>
      <c r="E18" s="55" t="n">
        <v>0.21</v>
      </c>
      <c r="F18" s="55" t="n">
        <v>0.21</v>
      </c>
      <c r="G18" s="55" t="n">
        <v>0.21</v>
      </c>
      <c r="H18" s="55" t="n">
        <v>0.21</v>
      </c>
      <c r="J18" s="66" t="n">
        <v>0.21</v>
      </c>
      <c r="K18" s="38" t="s">
        <v>239</v>
      </c>
    </row>
    <row r="19" customFormat="false" ht="18" hidden="false" customHeight="true" outlineLevel="0" collapsed="false">
      <c r="B19" s="22" t="s">
        <v>240</v>
      </c>
      <c r="C19" s="67" t="n">
        <f aca="false">C15*C18</f>
        <v>-548.73</v>
      </c>
      <c r="D19" s="67" t="n">
        <f aca="false">D15*D18</f>
        <v>-383.04</v>
      </c>
      <c r="E19" s="67" t="n">
        <f aca="false">E15*E18</f>
        <v>-38.22</v>
      </c>
      <c r="F19" s="67" t="n">
        <f aca="false">F15*F18</f>
        <v>233.1</v>
      </c>
      <c r="G19" s="67" t="n">
        <f aca="false">G15*G18</f>
        <v>587.58</v>
      </c>
      <c r="H19" s="67" t="n">
        <f aca="false">H15*H18</f>
        <v>1170.33</v>
      </c>
      <c r="J19" s="10"/>
      <c r="K19" s="37" t="s">
        <v>241</v>
      </c>
    </row>
    <row r="20" customFormat="false" ht="7.5" hidden="false" customHeight="true" outlineLevel="0" collapsed="false"/>
    <row r="21" customFormat="false" ht="18" hidden="false" customHeight="true" outlineLevel="0" collapsed="false">
      <c r="B21" s="27" t="s">
        <v>242</v>
      </c>
      <c r="C21" s="68" t="n">
        <f aca="false">C15*(1-C18)</f>
        <v>-2064.27</v>
      </c>
      <c r="D21" s="68" t="n">
        <f aca="false">D15*(1-D18)</f>
        <v>-1440.96</v>
      </c>
      <c r="E21" s="68" t="n">
        <f aca="false">E15*(1-E18)</f>
        <v>-143.78</v>
      </c>
      <c r="F21" s="68" t="n">
        <f aca="false">F15*(1-F18)</f>
        <v>876.9</v>
      </c>
      <c r="G21" s="68" t="n">
        <f aca="false">G15*(1-G18)</f>
        <v>2210.42</v>
      </c>
      <c r="H21" s="68" t="n">
        <f aca="false">H15*(1-H18)</f>
        <v>4402.67</v>
      </c>
      <c r="I21" s="28"/>
      <c r="J21" s="28"/>
      <c r="K21" s="28"/>
    </row>
    <row r="22" customFormat="false" ht="7.5" hidden="false" customHeight="true" outlineLevel="0" collapsed="false"/>
    <row r="23" customFormat="false" ht="18" hidden="false" customHeight="true" outlineLevel="0" collapsed="false">
      <c r="B23" s="27" t="s">
        <v>243</v>
      </c>
      <c r="C23" s="28"/>
      <c r="D23" s="28"/>
      <c r="E23" s="28"/>
      <c r="F23" s="28"/>
      <c r="G23" s="28"/>
      <c r="H23" s="28"/>
      <c r="I23" s="28"/>
      <c r="J23" s="28"/>
      <c r="K23" s="28"/>
    </row>
    <row r="24" customFormat="false" ht="18" hidden="false" customHeight="true" outlineLevel="0" collapsed="false">
      <c r="B24" s="20" t="s">
        <v>244</v>
      </c>
      <c r="C24" s="6"/>
      <c r="D24" s="6"/>
      <c r="E24" s="6"/>
      <c r="F24" s="6"/>
      <c r="G24" s="6"/>
      <c r="H24" s="6"/>
      <c r="J24" s="64" t="n">
        <v>51997</v>
      </c>
      <c r="K24" s="38" t="s">
        <v>245</v>
      </c>
    </row>
    <row r="25" customFormat="false" ht="18" hidden="false" customHeight="true" outlineLevel="0" collapsed="false">
      <c r="B25" s="22" t="s">
        <v>246</v>
      </c>
      <c r="C25" s="10"/>
      <c r="D25" s="10"/>
      <c r="E25" s="10"/>
      <c r="F25" s="10"/>
      <c r="G25" s="10"/>
      <c r="H25" s="10"/>
      <c r="J25" s="66" t="n">
        <v>0.107</v>
      </c>
      <c r="K25" s="37" t="s">
        <v>247</v>
      </c>
    </row>
    <row r="26" customFormat="false" ht="18" hidden="false" customHeight="true" outlineLevel="0" collapsed="false">
      <c r="B26" s="30" t="s">
        <v>248</v>
      </c>
      <c r="C26" s="6"/>
      <c r="D26" s="6"/>
      <c r="E26" s="6"/>
      <c r="F26" s="6"/>
      <c r="G26" s="6"/>
      <c r="H26" s="6"/>
      <c r="J26" s="69" t="n">
        <f aca="false">J24*J25</f>
        <v>5563.679</v>
      </c>
      <c r="K26" s="38" t="s">
        <v>249</v>
      </c>
    </row>
    <row r="27" customFormat="false" ht="18" hidden="false" customHeight="true" outlineLevel="0" collapsed="false">
      <c r="B27" s="24" t="s">
        <v>250</v>
      </c>
      <c r="C27" s="10"/>
      <c r="D27" s="10"/>
      <c r="E27" s="10"/>
      <c r="F27" s="10"/>
      <c r="G27" s="10"/>
      <c r="H27" s="10"/>
      <c r="J27" s="69" t="n">
        <f aca="false">J26*(1-0.21)</f>
        <v>4395.30641</v>
      </c>
      <c r="K27" s="37" t="s">
        <v>251</v>
      </c>
    </row>
    <row r="28" customFormat="false" ht="7.5" hidden="false" customHeight="true" outlineLevel="0" collapsed="false"/>
    <row r="29" customFormat="false" ht="18" hidden="false" customHeight="true" outlineLevel="0" collapsed="false">
      <c r="B29" s="27" t="s">
        <v>252</v>
      </c>
      <c r="C29" s="28"/>
      <c r="D29" s="28"/>
      <c r="E29" s="28"/>
      <c r="F29" s="28"/>
      <c r="G29" s="28"/>
      <c r="H29" s="28"/>
      <c r="I29" s="28"/>
      <c r="J29" s="70" t="n">
        <f aca="false">AVERAGE(F21:H21)</f>
        <v>2496.66333333333</v>
      </c>
      <c r="K29" s="28"/>
    </row>
    <row r="30" customFormat="false" ht="18" hidden="false" customHeight="true" outlineLevel="0" collapsed="false">
      <c r="B30" s="30" t="s">
        <v>253</v>
      </c>
      <c r="C30" s="6"/>
      <c r="D30" s="6"/>
      <c r="E30" s="6"/>
      <c r="F30" s="6"/>
      <c r="G30" s="6"/>
      <c r="H30" s="6"/>
      <c r="J30" s="71" t="n">
        <f aca="false">J27</f>
        <v>4395.30641</v>
      </c>
      <c r="K30" s="72" t="s">
        <v>254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B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11" min="3" style="1" width="14"/>
    <col collapsed="false" customWidth="true" hidden="false" outlineLevel="0" max="12" min="12" style="1" width="2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255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21.75" hidden="false" customHeight="true" outlineLevel="0" collapsed="false">
      <c r="B3" s="73" t="s">
        <v>256</v>
      </c>
      <c r="C3" s="73"/>
      <c r="D3" s="73"/>
      <c r="E3" s="73"/>
      <c r="F3" s="73"/>
      <c r="G3" s="73"/>
      <c r="H3" s="73"/>
      <c r="I3" s="73"/>
      <c r="J3" s="73"/>
      <c r="K3" s="73"/>
      <c r="L3" s="73"/>
    </row>
    <row r="5" customFormat="false" ht="21.75" hidden="false" customHeight="true" outlineLevel="0" collapsed="false">
      <c r="B5" s="74" t="s">
        <v>257</v>
      </c>
      <c r="C5" s="74"/>
      <c r="D5" s="74"/>
      <c r="E5" s="74"/>
      <c r="F5" s="74"/>
      <c r="G5" s="74"/>
      <c r="H5" s="74"/>
      <c r="I5" s="74"/>
      <c r="J5" s="74"/>
      <c r="K5" s="74"/>
      <c r="L5" s="74"/>
    </row>
    <row r="6" customFormat="false" ht="21.75" hidden="false" customHeight="true" outlineLevel="0" collapsed="false">
      <c r="B6" s="75" t="s">
        <v>258</v>
      </c>
      <c r="C6" s="75" t="s">
        <v>259</v>
      </c>
      <c r="D6" s="75" t="s">
        <v>260</v>
      </c>
      <c r="E6" s="75" t="s">
        <v>261</v>
      </c>
      <c r="F6" s="75" t="s">
        <v>262</v>
      </c>
      <c r="G6" s="75" t="s">
        <v>263</v>
      </c>
      <c r="H6" s="75" t="s">
        <v>264</v>
      </c>
    </row>
    <row r="7" customFormat="false" ht="18" hidden="false" customHeight="true" outlineLevel="0" collapsed="false">
      <c r="B7" s="76" t="n">
        <v>2020</v>
      </c>
      <c r="C7" s="21" t="n">
        <v>3500</v>
      </c>
      <c r="D7" s="77" t="n">
        <v>875</v>
      </c>
      <c r="E7" s="77" t="n">
        <v>875</v>
      </c>
      <c r="F7" s="77" t="n">
        <v>875</v>
      </c>
      <c r="G7" s="77" t="n">
        <v>875</v>
      </c>
      <c r="H7" s="77" t="n">
        <v>875</v>
      </c>
      <c r="I7" s="6"/>
    </row>
    <row r="8" customFormat="false" ht="18" hidden="false" customHeight="true" outlineLevel="0" collapsed="false">
      <c r="B8" s="78" t="n">
        <v>2021</v>
      </c>
      <c r="C8" s="29" t="n">
        <v>4789</v>
      </c>
      <c r="D8" s="79" t="n">
        <v>1197.25</v>
      </c>
      <c r="E8" s="79" t="n">
        <v>1197.25</v>
      </c>
      <c r="F8" s="79" t="n">
        <v>1197.25</v>
      </c>
      <c r="G8" s="79" t="n">
        <v>1197.25</v>
      </c>
      <c r="H8" s="79" t="n">
        <v>1197.25</v>
      </c>
      <c r="I8" s="10"/>
    </row>
    <row r="9" customFormat="false" ht="18" hidden="false" customHeight="true" outlineLevel="0" collapsed="false">
      <c r="B9" s="76" t="n">
        <v>2022</v>
      </c>
      <c r="C9" s="21" t="n">
        <v>4123</v>
      </c>
      <c r="D9" s="77" t="n">
        <v>1030.75</v>
      </c>
      <c r="E9" s="77" t="n">
        <v>1030.75</v>
      </c>
      <c r="F9" s="77" t="n">
        <v>1030.75</v>
      </c>
      <c r="G9" s="77" t="n">
        <v>1030.75</v>
      </c>
      <c r="H9" s="77" t="n">
        <v>1030.75</v>
      </c>
      <c r="I9" s="6"/>
    </row>
    <row r="10" customFormat="false" ht="18" hidden="false" customHeight="true" outlineLevel="0" collapsed="false">
      <c r="B10" s="78" t="n">
        <v>2023</v>
      </c>
      <c r="C10" s="29" t="n">
        <v>4448</v>
      </c>
      <c r="D10" s="79" t="n">
        <v>1112</v>
      </c>
      <c r="E10" s="79" t="n">
        <v>1112</v>
      </c>
      <c r="F10" s="79" t="n">
        <v>1112</v>
      </c>
      <c r="G10" s="79" t="n">
        <v>1112</v>
      </c>
      <c r="H10" s="79" t="n">
        <v>1112</v>
      </c>
      <c r="I10" s="10"/>
    </row>
    <row r="11" customFormat="false" ht="18" hidden="false" customHeight="true" outlineLevel="0" collapsed="false">
      <c r="B11" s="76" t="n">
        <v>2024</v>
      </c>
      <c r="C11" s="21" t="n">
        <v>4824</v>
      </c>
      <c r="D11" s="77" t="n">
        <v>1206</v>
      </c>
      <c r="E11" s="77" t="n">
        <v>1206</v>
      </c>
      <c r="F11" s="77" t="n">
        <v>1206</v>
      </c>
      <c r="G11" s="77" t="n">
        <v>1206</v>
      </c>
      <c r="H11" s="77" t="n">
        <v>1206</v>
      </c>
      <c r="I11" s="6"/>
    </row>
    <row r="12" customFormat="false" ht="18" hidden="false" customHeight="true" outlineLevel="0" collapsed="false">
      <c r="B12" s="78" t="n">
        <v>2025</v>
      </c>
      <c r="C12" s="29" t="n">
        <v>5243</v>
      </c>
      <c r="D12" s="79" t="n">
        <v>1310.75</v>
      </c>
      <c r="E12" s="79" t="n">
        <v>1310.75</v>
      </c>
      <c r="F12" s="79" t="n">
        <v>1310.75</v>
      </c>
      <c r="G12" s="79" t="n">
        <v>1310.75</v>
      </c>
      <c r="H12" s="79" t="n">
        <v>1310.75</v>
      </c>
      <c r="I12" s="10"/>
    </row>
    <row r="13" customFormat="false" ht="21.75" hidden="false" customHeight="true" outlineLevel="0" collapsed="false">
      <c r="B13" s="80" t="s">
        <v>265</v>
      </c>
      <c r="C13" s="80"/>
      <c r="D13" s="81" t="n">
        <v>12115.75</v>
      </c>
      <c r="E13" s="82" t="s">
        <v>266</v>
      </c>
    </row>
    <row r="14" customFormat="false" ht="18" hidden="false" customHeight="true" outlineLevel="0" collapsed="false">
      <c r="B14" s="83" t="s">
        <v>267</v>
      </c>
      <c r="D14" s="84" t="n">
        <v>4659.5</v>
      </c>
    </row>
    <row r="17" customFormat="false" ht="21.75" hidden="false" customHeight="true" outlineLevel="0" collapsed="false">
      <c r="B17" s="74" t="s">
        <v>268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</row>
    <row r="18" customFormat="false" ht="21.75" hidden="false" customHeight="true" outlineLevel="0" collapsed="false">
      <c r="B18" s="75" t="s">
        <v>258</v>
      </c>
      <c r="C18" s="75" t="s">
        <v>269</v>
      </c>
      <c r="D18" s="75" t="s">
        <v>260</v>
      </c>
      <c r="E18" s="75" t="s">
        <v>270</v>
      </c>
      <c r="F18" s="75" t="s">
        <v>271</v>
      </c>
      <c r="G18" s="75" t="s">
        <v>272</v>
      </c>
      <c r="H18" s="75" t="s">
        <v>273</v>
      </c>
      <c r="I18" s="75" t="s">
        <v>274</v>
      </c>
    </row>
    <row r="19" customFormat="false" ht="18" hidden="false" customHeight="true" outlineLevel="0" collapsed="false">
      <c r="B19" s="76" t="n">
        <v>2020</v>
      </c>
      <c r="C19" s="21" t="n">
        <v>2205</v>
      </c>
      <c r="D19" s="77" t="n">
        <v>441</v>
      </c>
      <c r="E19" s="77" t="n">
        <v>441</v>
      </c>
      <c r="F19" s="77" t="n">
        <v>441</v>
      </c>
      <c r="G19" s="77" t="n">
        <v>441</v>
      </c>
      <c r="H19" s="77" t="n">
        <v>441</v>
      </c>
      <c r="I19" s="77" t="n">
        <v>441</v>
      </c>
      <c r="J19" s="6"/>
      <c r="K19" s="6"/>
    </row>
    <row r="20" customFormat="false" ht="18" hidden="false" customHeight="true" outlineLevel="0" collapsed="false">
      <c r="B20" s="78" t="n">
        <v>2021</v>
      </c>
      <c r="C20" s="29" t="n">
        <v>2054</v>
      </c>
      <c r="D20" s="79" t="n">
        <v>410.8</v>
      </c>
      <c r="E20" s="79" t="n">
        <v>410.8</v>
      </c>
      <c r="F20" s="79" t="n">
        <v>410.8</v>
      </c>
      <c r="G20" s="79" t="n">
        <v>410.8</v>
      </c>
      <c r="H20" s="79" t="n">
        <v>410.8</v>
      </c>
      <c r="I20" s="79" t="n">
        <v>410.8</v>
      </c>
      <c r="J20" s="10"/>
      <c r="K20" s="10"/>
    </row>
    <row r="21" customFormat="false" ht="18" hidden="false" customHeight="true" outlineLevel="0" collapsed="false">
      <c r="B21" s="76" t="n">
        <v>2022</v>
      </c>
      <c r="C21" s="21" t="n">
        <v>2810</v>
      </c>
      <c r="D21" s="77" t="n">
        <v>562</v>
      </c>
      <c r="E21" s="77" t="n">
        <v>562</v>
      </c>
      <c r="F21" s="77" t="n">
        <v>562</v>
      </c>
      <c r="G21" s="77" t="n">
        <v>562</v>
      </c>
      <c r="H21" s="77" t="n">
        <v>562</v>
      </c>
      <c r="I21" s="77" t="n">
        <v>562</v>
      </c>
      <c r="J21" s="6"/>
      <c r="K21" s="6"/>
    </row>
    <row r="22" customFormat="false" ht="18" hidden="false" customHeight="true" outlineLevel="0" collapsed="false">
      <c r="B22" s="78" t="n">
        <v>2023</v>
      </c>
      <c r="C22" s="29" t="n">
        <v>3164</v>
      </c>
      <c r="D22" s="79" t="n">
        <v>632.8</v>
      </c>
      <c r="E22" s="79" t="n">
        <v>632.8</v>
      </c>
      <c r="F22" s="79" t="n">
        <v>632.8</v>
      </c>
      <c r="G22" s="79" t="n">
        <v>632.8</v>
      </c>
      <c r="H22" s="79" t="n">
        <v>632.8</v>
      </c>
      <c r="I22" s="79" t="n">
        <v>632.8</v>
      </c>
      <c r="J22" s="10"/>
      <c r="K22" s="10"/>
    </row>
    <row r="23" customFormat="false" ht="18" hidden="false" customHeight="true" outlineLevel="0" collapsed="false">
      <c r="B23" s="76" t="n">
        <v>2024</v>
      </c>
      <c r="C23" s="21" t="n">
        <v>3250</v>
      </c>
      <c r="D23" s="77" t="n">
        <v>650</v>
      </c>
      <c r="E23" s="77" t="n">
        <v>650</v>
      </c>
      <c r="F23" s="77" t="n">
        <v>650</v>
      </c>
      <c r="G23" s="77" t="n">
        <v>650</v>
      </c>
      <c r="H23" s="77" t="n">
        <v>650</v>
      </c>
      <c r="I23" s="77" t="n">
        <v>650</v>
      </c>
      <c r="J23" s="6"/>
      <c r="K23" s="6"/>
    </row>
    <row r="24" customFormat="false" ht="18" hidden="false" customHeight="true" outlineLevel="0" collapsed="false">
      <c r="B24" s="78" t="n">
        <v>2025</v>
      </c>
      <c r="C24" s="29" t="n">
        <v>3420</v>
      </c>
      <c r="D24" s="79" t="n">
        <v>684</v>
      </c>
      <c r="E24" s="79" t="n">
        <v>684</v>
      </c>
      <c r="F24" s="79" t="n">
        <v>684</v>
      </c>
      <c r="G24" s="79" t="n">
        <v>684</v>
      </c>
      <c r="H24" s="79" t="n">
        <v>684</v>
      </c>
      <c r="I24" s="79" t="n">
        <v>684</v>
      </c>
      <c r="J24" s="10"/>
      <c r="K24" s="10"/>
    </row>
    <row r="25" customFormat="false" ht="21.75" hidden="false" customHeight="true" outlineLevel="0" collapsed="false">
      <c r="B25" s="85" t="s">
        <v>275</v>
      </c>
      <c r="D25" s="81" t="n">
        <v>9453.2</v>
      </c>
      <c r="E25" s="82" t="s">
        <v>276</v>
      </c>
    </row>
    <row r="26" customFormat="false" ht="15" hidden="false" customHeight="true" outlineLevel="0" collapsed="false">
      <c r="B26" s="83" t="s">
        <v>277</v>
      </c>
      <c r="D26" s="84" t="n">
        <v>2939.6</v>
      </c>
    </row>
    <row r="29" customFormat="false" ht="21.75" hidden="false" customHeight="true" outlineLevel="0" collapsed="false">
      <c r="B29" s="74" t="s">
        <v>278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</row>
    <row r="30" customFormat="false" ht="19.5" hidden="false" customHeight="true" outlineLevel="0" collapsed="false">
      <c r="B30" s="20" t="s">
        <v>279</v>
      </c>
      <c r="C30" s="6"/>
      <c r="D30" s="33" t="n">
        <v>5243</v>
      </c>
      <c r="E30" s="86" t="s">
        <v>280</v>
      </c>
      <c r="F30" s="6"/>
      <c r="G30" s="6"/>
    </row>
    <row r="31" customFormat="false" ht="19.5" hidden="false" customHeight="true" outlineLevel="0" collapsed="false">
      <c r="B31" s="22" t="s">
        <v>281</v>
      </c>
      <c r="C31" s="10"/>
      <c r="D31" s="36" t="n">
        <v>-4659.5</v>
      </c>
      <c r="E31" s="87" t="s">
        <v>282</v>
      </c>
      <c r="F31" s="10"/>
      <c r="G31" s="10"/>
    </row>
    <row r="32" customFormat="false" ht="19.5" hidden="false" customHeight="true" outlineLevel="0" collapsed="false">
      <c r="B32" s="30" t="s">
        <v>283</v>
      </c>
      <c r="C32" s="6"/>
      <c r="D32" s="31" t="n">
        <v>583.5</v>
      </c>
      <c r="E32" s="38" t="s">
        <v>284</v>
      </c>
      <c r="F32" s="6"/>
      <c r="G32" s="6"/>
    </row>
    <row r="33" customFormat="false" ht="19.5" hidden="false" customHeight="true" outlineLevel="0" collapsed="false">
      <c r="B33" s="22" t="s">
        <v>285</v>
      </c>
      <c r="C33" s="10"/>
      <c r="D33" s="36" t="n">
        <v>3420</v>
      </c>
      <c r="E33" s="87" t="s">
        <v>280</v>
      </c>
      <c r="F33" s="10"/>
      <c r="G33" s="10"/>
    </row>
    <row r="34" customFormat="false" ht="19.5" hidden="false" customHeight="true" outlineLevel="0" collapsed="false">
      <c r="B34" s="20" t="s">
        <v>286</v>
      </c>
      <c r="C34" s="6"/>
      <c r="D34" s="33" t="n">
        <v>-2939.6</v>
      </c>
      <c r="E34" s="86" t="s">
        <v>287</v>
      </c>
      <c r="F34" s="6"/>
      <c r="G34" s="6"/>
    </row>
    <row r="35" customFormat="false" ht="19.5" hidden="false" customHeight="true" outlineLevel="0" collapsed="false">
      <c r="B35" s="24" t="s">
        <v>288</v>
      </c>
      <c r="C35" s="10"/>
      <c r="D35" s="25" t="n">
        <v>480.4</v>
      </c>
      <c r="E35" s="37" t="s">
        <v>284</v>
      </c>
      <c r="F35" s="10"/>
      <c r="G35" s="10"/>
    </row>
    <row r="36" customFormat="false" ht="19.5" hidden="false" customHeight="true" outlineLevel="0" collapsed="false">
      <c r="B36" s="30" t="s">
        <v>289</v>
      </c>
      <c r="C36" s="6"/>
      <c r="D36" s="31" t="n">
        <v>12115.75</v>
      </c>
      <c r="E36" s="86" t="s">
        <v>290</v>
      </c>
      <c r="F36" s="6"/>
      <c r="G36" s="6"/>
    </row>
    <row r="37" customFormat="false" ht="19.5" hidden="false" customHeight="true" outlineLevel="0" collapsed="false">
      <c r="B37" s="24" t="s">
        <v>291</v>
      </c>
      <c r="C37" s="10"/>
      <c r="D37" s="25" t="n">
        <v>9453.2</v>
      </c>
      <c r="E37" s="87" t="s">
        <v>290</v>
      </c>
      <c r="F37" s="10"/>
      <c r="G37" s="10"/>
    </row>
    <row r="38" customFormat="false" ht="19.5" hidden="false" customHeight="true" outlineLevel="0" collapsed="false">
      <c r="B38" s="30" t="s">
        <v>292</v>
      </c>
      <c r="C38" s="6"/>
      <c r="D38" s="31" t="n">
        <v>21568.95</v>
      </c>
      <c r="E38" s="86" t="s">
        <v>293</v>
      </c>
      <c r="F38" s="6"/>
      <c r="G38" s="6"/>
    </row>
  </sheetData>
  <mergeCells count="6">
    <mergeCell ref="B2:L2"/>
    <mergeCell ref="B3:L3"/>
    <mergeCell ref="B5:L5"/>
    <mergeCell ref="B13:C13"/>
    <mergeCell ref="B17:L17"/>
    <mergeCell ref="B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B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294</v>
      </c>
      <c r="C2" s="18"/>
      <c r="D2" s="18"/>
      <c r="E2" s="18"/>
      <c r="F2" s="18"/>
    </row>
    <row r="3" customFormat="false" ht="30" hidden="false" customHeight="true" outlineLevel="0" collapsed="false">
      <c r="B3" s="88" t="s">
        <v>295</v>
      </c>
      <c r="C3" s="88"/>
      <c r="D3" s="88"/>
      <c r="E3" s="88"/>
      <c r="F3" s="88"/>
    </row>
    <row r="4" customFormat="false" ht="21.75" hidden="false" customHeight="true" outlineLevel="0" collapsed="false">
      <c r="B4" s="89" t="s">
        <v>296</v>
      </c>
      <c r="C4" s="90" t="n">
        <f aca="false">D39</f>
        <v>47338.95</v>
      </c>
      <c r="D4" s="19" t="s">
        <v>297</v>
      </c>
      <c r="E4" s="19" t="s">
        <v>298</v>
      </c>
      <c r="F4" s="19" t="s">
        <v>299</v>
      </c>
    </row>
    <row r="5" customFormat="false" ht="19.5" hidden="false" customHeight="true" outlineLevel="0" collapsed="false">
      <c r="B5" s="27" t="s">
        <v>300</v>
      </c>
      <c r="C5" s="28"/>
      <c r="D5" s="28"/>
      <c r="E5" s="28"/>
      <c r="F5" s="28"/>
    </row>
    <row r="6" customFormat="false" ht="19.5" hidden="false" customHeight="true" outlineLevel="0" collapsed="false">
      <c r="B6" s="20" t="s">
        <v>301</v>
      </c>
      <c r="C6" s="33" t="n">
        <v>8500</v>
      </c>
      <c r="D6" s="33" t="n">
        <v>8500</v>
      </c>
      <c r="E6" s="38" t="s">
        <v>302</v>
      </c>
      <c r="F6" s="6"/>
    </row>
    <row r="7" customFormat="false" ht="19.5" hidden="false" customHeight="true" outlineLevel="0" collapsed="false">
      <c r="B7" s="22" t="s">
        <v>303</v>
      </c>
      <c r="C7" s="36" t="n">
        <v>3200</v>
      </c>
      <c r="D7" s="36" t="n">
        <v>3200</v>
      </c>
      <c r="E7" s="37" t="s">
        <v>304</v>
      </c>
      <c r="F7" s="10"/>
    </row>
    <row r="8" customFormat="false" ht="19.5" hidden="false" customHeight="true" outlineLevel="0" collapsed="false">
      <c r="B8" s="20" t="s">
        <v>305</v>
      </c>
      <c r="C8" s="33" t="n">
        <v>3900</v>
      </c>
      <c r="D8" s="33" t="n">
        <v>3700</v>
      </c>
      <c r="E8" s="38" t="s">
        <v>306</v>
      </c>
      <c r="F8" s="6"/>
    </row>
    <row r="9" customFormat="false" ht="19.5" hidden="false" customHeight="true" outlineLevel="0" collapsed="false">
      <c r="B9" s="22" t="s">
        <v>307</v>
      </c>
      <c r="C9" s="36" t="n">
        <v>1200</v>
      </c>
      <c r="D9" s="36" t="n">
        <v>1100</v>
      </c>
      <c r="E9" s="37" t="s">
        <v>308</v>
      </c>
      <c r="F9" s="10"/>
    </row>
    <row r="10" customFormat="false" ht="19.5" hidden="false" customHeight="true" outlineLevel="0" collapsed="false">
      <c r="B10" s="20" t="s">
        <v>309</v>
      </c>
      <c r="C10" s="33" t="n">
        <v>2100</v>
      </c>
      <c r="D10" s="33" t="n">
        <v>2500</v>
      </c>
      <c r="E10" s="38" t="s">
        <v>310</v>
      </c>
      <c r="F10" s="6"/>
    </row>
    <row r="11" customFormat="false" ht="19.5" hidden="false" customHeight="true" outlineLevel="0" collapsed="false">
      <c r="B11" s="22" t="s">
        <v>311</v>
      </c>
      <c r="C11" s="36" t="n">
        <v>1800</v>
      </c>
      <c r="D11" s="36" t="n">
        <v>1800</v>
      </c>
      <c r="E11" s="37" t="s">
        <v>312</v>
      </c>
      <c r="F11" s="10"/>
    </row>
    <row r="12" customFormat="false" ht="19.5" hidden="false" customHeight="true" outlineLevel="0" collapsed="false">
      <c r="B12" s="30" t="s">
        <v>313</v>
      </c>
      <c r="C12" s="6"/>
      <c r="D12" s="31" t="n">
        <f aca="false">SUM(D6:D11)</f>
        <v>20800</v>
      </c>
      <c r="E12" s="6"/>
      <c r="F12" s="6"/>
    </row>
    <row r="13" customFormat="false" ht="7.5" hidden="false" customHeight="true" outlineLevel="0" collapsed="false"/>
    <row r="14" customFormat="false" ht="19.5" hidden="false" customHeight="true" outlineLevel="0" collapsed="false">
      <c r="B14" s="27" t="s">
        <v>314</v>
      </c>
      <c r="C14" s="28"/>
      <c r="D14" s="28"/>
      <c r="E14" s="28"/>
      <c r="F14" s="28"/>
    </row>
    <row r="15" customFormat="false" ht="19.5" hidden="false" customHeight="true" outlineLevel="0" collapsed="false">
      <c r="B15" s="20" t="s">
        <v>315</v>
      </c>
      <c r="C15" s="6"/>
      <c r="D15" s="33" t="n">
        <v>8400</v>
      </c>
      <c r="E15" s="38" t="s">
        <v>316</v>
      </c>
      <c r="F15" s="91" t="s">
        <v>317</v>
      </c>
    </row>
    <row r="16" customFormat="false" ht="19.5" hidden="false" customHeight="true" outlineLevel="0" collapsed="false">
      <c r="B16" s="22" t="s">
        <v>318</v>
      </c>
      <c r="C16" s="10"/>
      <c r="D16" s="36" t="n">
        <v>3600</v>
      </c>
      <c r="E16" s="37" t="s">
        <v>319</v>
      </c>
      <c r="F16" s="92" t="s">
        <v>317</v>
      </c>
    </row>
    <row r="17" customFormat="false" ht="19.5" hidden="false" customHeight="true" outlineLevel="0" collapsed="false">
      <c r="B17" s="20" t="s">
        <v>320</v>
      </c>
      <c r="C17" s="6"/>
      <c r="D17" s="33" t="n">
        <v>9453.2</v>
      </c>
      <c r="E17" s="38" t="s">
        <v>321</v>
      </c>
      <c r="F17" s="91" t="s">
        <v>322</v>
      </c>
    </row>
    <row r="18" customFormat="false" ht="19.5" hidden="false" customHeight="true" outlineLevel="0" collapsed="false">
      <c r="B18" s="22" t="s">
        <v>323</v>
      </c>
      <c r="C18" s="10"/>
      <c r="D18" s="36" t="n">
        <v>1500</v>
      </c>
      <c r="E18" s="37" t="s">
        <v>324</v>
      </c>
      <c r="F18" s="92" t="s">
        <v>317</v>
      </c>
    </row>
    <row r="19" customFormat="false" ht="19.5" hidden="false" customHeight="true" outlineLevel="0" collapsed="false">
      <c r="B19" s="20" t="s">
        <v>325</v>
      </c>
      <c r="C19" s="6"/>
      <c r="D19" s="33" t="n">
        <v>12115.75</v>
      </c>
      <c r="E19" s="38" t="s">
        <v>326</v>
      </c>
      <c r="F19" s="91" t="s">
        <v>327</v>
      </c>
    </row>
    <row r="20" customFormat="false" ht="19.5" hidden="false" customHeight="true" outlineLevel="0" collapsed="false">
      <c r="B20" s="24" t="s">
        <v>328</v>
      </c>
      <c r="C20" s="36" t="n">
        <v>1600</v>
      </c>
      <c r="D20" s="25" t="n">
        <f aca="false">SUM(D15:D19)</f>
        <v>35068.95</v>
      </c>
      <c r="E20" s="37" t="s">
        <v>329</v>
      </c>
      <c r="F20" s="92" t="s">
        <v>317</v>
      </c>
    </row>
    <row r="21" customFormat="false" ht="7.5" hidden="false" customHeight="true" outlineLevel="0" collapsed="false"/>
    <row r="22" customFormat="false" ht="19.5" hidden="false" customHeight="true" outlineLevel="0" collapsed="false">
      <c r="B22" s="20" t="s">
        <v>330</v>
      </c>
      <c r="C22" s="33" t="n">
        <v>8200</v>
      </c>
      <c r="D22" s="33" t="n">
        <v>0</v>
      </c>
      <c r="E22" s="38" t="s">
        <v>331</v>
      </c>
      <c r="F22" s="91" t="s">
        <v>332</v>
      </c>
    </row>
    <row r="23" customFormat="false" ht="7.5" hidden="false" customHeight="true" outlineLevel="0" collapsed="false"/>
    <row r="24" customFormat="false" ht="19.5" hidden="false" customHeight="true" outlineLevel="0" collapsed="false">
      <c r="B24" s="27" t="s">
        <v>333</v>
      </c>
      <c r="C24" s="28"/>
      <c r="D24" s="28"/>
      <c r="E24" s="28"/>
      <c r="F24" s="28"/>
    </row>
    <row r="25" customFormat="false" ht="19.5" hidden="false" customHeight="true" outlineLevel="0" collapsed="false">
      <c r="B25" s="20" t="s">
        <v>334</v>
      </c>
      <c r="C25" s="33" t="n">
        <v>7000</v>
      </c>
      <c r="D25" s="33" t="n">
        <v>7000</v>
      </c>
      <c r="E25" s="38" t="s">
        <v>335</v>
      </c>
      <c r="F25" s="91" t="s">
        <v>336</v>
      </c>
    </row>
    <row r="26" customFormat="false" ht="19.5" hidden="false" customHeight="true" outlineLevel="0" collapsed="false">
      <c r="B26" s="22" t="s">
        <v>337</v>
      </c>
      <c r="C26" s="36" t="n">
        <v>8600</v>
      </c>
      <c r="D26" s="36" t="n">
        <v>6020</v>
      </c>
      <c r="E26" s="37" t="s">
        <v>338</v>
      </c>
      <c r="F26" s="92" t="s">
        <v>339</v>
      </c>
    </row>
    <row r="27" customFormat="false" ht="19.5" hidden="false" customHeight="true" outlineLevel="0" collapsed="false">
      <c r="B27" s="20" t="s">
        <v>340</v>
      </c>
      <c r="C27" s="33" t="n">
        <v>3900</v>
      </c>
      <c r="D27" s="33" t="n">
        <v>3200</v>
      </c>
      <c r="E27" s="38" t="s">
        <v>341</v>
      </c>
      <c r="F27" s="6"/>
    </row>
    <row r="28" customFormat="false" ht="19.5" hidden="false" customHeight="true" outlineLevel="0" collapsed="false">
      <c r="B28" s="24" t="s">
        <v>342</v>
      </c>
      <c r="C28" s="10"/>
      <c r="D28" s="25" t="n">
        <f aca="false">D25+D26+D27</f>
        <v>16220</v>
      </c>
      <c r="E28" s="10"/>
      <c r="F28" s="10"/>
    </row>
    <row r="29" customFormat="false" ht="7.5" hidden="false" customHeight="true" outlineLevel="0" collapsed="false"/>
    <row r="30" customFormat="false" ht="19.5" hidden="false" customHeight="true" outlineLevel="0" collapsed="false">
      <c r="B30" s="30" t="s">
        <v>343</v>
      </c>
      <c r="C30" s="6"/>
      <c r="D30" s="93" t="n">
        <f aca="false">D12+D20+D22+D28</f>
        <v>72088.95</v>
      </c>
      <c r="E30" s="38" t="s">
        <v>344</v>
      </c>
      <c r="F30" s="6"/>
    </row>
    <row r="31" customFormat="false" ht="7.5" hidden="false" customHeight="true" outlineLevel="0" collapsed="false"/>
    <row r="32" customFormat="false" ht="19.5" hidden="false" customHeight="true" outlineLevel="0" collapsed="false">
      <c r="B32" s="27" t="s">
        <v>345</v>
      </c>
      <c r="C32" s="28"/>
      <c r="D32" s="28"/>
      <c r="E32" s="28"/>
      <c r="F32" s="28"/>
    </row>
    <row r="33" customFormat="false" ht="19.5" hidden="false" customHeight="true" outlineLevel="0" collapsed="false">
      <c r="B33" s="20" t="s">
        <v>113</v>
      </c>
      <c r="C33" s="33" t="n">
        <v>10500</v>
      </c>
      <c r="D33" s="33" t="n">
        <v>10500</v>
      </c>
      <c r="E33" s="38" t="s">
        <v>302</v>
      </c>
      <c r="F33" s="6"/>
    </row>
    <row r="34" customFormat="false" ht="19.5" hidden="false" customHeight="true" outlineLevel="0" collapsed="false">
      <c r="B34" s="22" t="s">
        <v>346</v>
      </c>
      <c r="C34" s="36" t="n">
        <v>9500</v>
      </c>
      <c r="D34" s="36" t="n">
        <v>9500</v>
      </c>
      <c r="E34" s="37" t="s">
        <v>302</v>
      </c>
      <c r="F34" s="10"/>
    </row>
    <row r="35" customFormat="false" ht="19.5" hidden="false" customHeight="true" outlineLevel="0" collapsed="false">
      <c r="B35" s="20" t="s">
        <v>347</v>
      </c>
      <c r="C35" s="33" t="n">
        <v>1500</v>
      </c>
      <c r="D35" s="33" t="n">
        <v>1500</v>
      </c>
      <c r="E35" s="38" t="s">
        <v>348</v>
      </c>
      <c r="F35" s="6"/>
    </row>
    <row r="36" customFormat="false" ht="19.5" hidden="false" customHeight="true" outlineLevel="0" collapsed="false">
      <c r="B36" s="22" t="s">
        <v>349</v>
      </c>
      <c r="C36" s="36" t="n">
        <v>3250</v>
      </c>
      <c r="D36" s="36" t="n">
        <v>3250</v>
      </c>
      <c r="E36" s="37" t="s">
        <v>302</v>
      </c>
      <c r="F36" s="10"/>
    </row>
    <row r="37" customFormat="false" ht="19.5" hidden="false" customHeight="true" outlineLevel="0" collapsed="false">
      <c r="B37" s="30" t="s">
        <v>350</v>
      </c>
      <c r="C37" s="6"/>
      <c r="D37" s="31" t="n">
        <f aca="false">SUM(D33:D36)</f>
        <v>24750</v>
      </c>
      <c r="E37" s="6"/>
      <c r="F37" s="6"/>
    </row>
    <row r="38" customFormat="false" ht="7.5" hidden="false" customHeight="true" outlineLevel="0" collapsed="false"/>
    <row r="39" customFormat="false" ht="19.5" hidden="false" customHeight="true" outlineLevel="0" collapsed="false">
      <c r="B39" s="24" t="s">
        <v>351</v>
      </c>
      <c r="C39" s="10"/>
      <c r="D39" s="94" t="n">
        <f aca="false">D30-D37</f>
        <v>47338.95</v>
      </c>
      <c r="E39" s="37" t="s">
        <v>352</v>
      </c>
      <c r="F39" s="10"/>
    </row>
    <row r="40" customFormat="false" ht="7.5" hidden="false" customHeight="true" outlineLevel="0" collapsed="false"/>
    <row r="41" customFormat="false" ht="19.5" hidden="false" customHeight="true" outlineLevel="0" collapsed="false">
      <c r="B41" s="30" t="s">
        <v>353</v>
      </c>
      <c r="C41" s="6"/>
      <c r="D41" s="95" t="n">
        <f aca="false">D39/2127</f>
        <v>22.2562059238364</v>
      </c>
      <c r="E41" s="6"/>
      <c r="F41" s="6"/>
    </row>
    <row r="42" customFormat="false" ht="19.5" hidden="false" customHeight="true" outlineLevel="0" collapsed="false">
      <c r="B42" s="22" t="s">
        <v>354</v>
      </c>
      <c r="C42" s="36" t="n">
        <v>70.4</v>
      </c>
      <c r="D42" s="96" t="n">
        <f aca="false">(70.4-D41)/D41</f>
        <v>2.16316268104806</v>
      </c>
      <c r="E42" s="37" t="s">
        <v>355</v>
      </c>
      <c r="F42" s="10"/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C80"/>
    <pageSetUpPr fitToPage="fals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24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356</v>
      </c>
      <c r="C2" s="18"/>
      <c r="D2" s="18"/>
      <c r="E2" s="18"/>
    </row>
    <row r="3" customFormat="false" ht="21.75" hidden="false" customHeight="true" outlineLevel="0" collapsed="false">
      <c r="B3" s="97" t="s">
        <v>357</v>
      </c>
      <c r="C3" s="97"/>
      <c r="D3" s="97"/>
      <c r="E3" s="97"/>
    </row>
    <row r="4" customFormat="false" ht="9.75" hidden="false" customHeight="true" outlineLevel="0" collapsed="false">
      <c r="C4" s="98" t="n">
        <f aca="false">C26</f>
        <v>54966.3832631579</v>
      </c>
    </row>
    <row r="5" customFormat="false" ht="21.75" hidden="false" customHeight="true" outlineLevel="0" collapsed="false">
      <c r="B5" s="19" t="s">
        <v>358</v>
      </c>
      <c r="C5" s="19" t="s">
        <v>359</v>
      </c>
      <c r="D5" s="19" t="s">
        <v>83</v>
      </c>
    </row>
    <row r="6" customFormat="false" ht="19.5" hidden="false" customHeight="true" outlineLevel="0" collapsed="false">
      <c r="B6" s="27" t="s">
        <v>360</v>
      </c>
      <c r="C6" s="28"/>
      <c r="D6" s="28"/>
      <c r="E6" s="28"/>
    </row>
    <row r="7" customFormat="false" ht="19.5" hidden="false" customHeight="true" outlineLevel="0" collapsed="false">
      <c r="B7" s="20" t="s">
        <v>361</v>
      </c>
      <c r="C7" s="99" t="n">
        <f aca="false">NOPAT!J30</f>
        <v>4395.30641</v>
      </c>
      <c r="D7" s="38" t="s">
        <v>362</v>
      </c>
      <c r="E7" s="6"/>
    </row>
    <row r="8" customFormat="false" ht="19.5" hidden="false" customHeight="true" outlineLevel="0" collapsed="false">
      <c r="B8" s="22" t="s">
        <v>363</v>
      </c>
      <c r="C8" s="100" t="n">
        <f aca="false">NOPAT!H21</f>
        <v>4402.67</v>
      </c>
      <c r="D8" s="37" t="s">
        <v>364</v>
      </c>
      <c r="E8" s="10"/>
    </row>
    <row r="9" customFormat="false" ht="19.5" hidden="false" customHeight="true" outlineLevel="0" collapsed="false">
      <c r="B9" s="30" t="s">
        <v>365</v>
      </c>
      <c r="C9" s="101" t="n">
        <f aca="false">C7</f>
        <v>4395.30641</v>
      </c>
      <c r="D9" s="38" t="s">
        <v>366</v>
      </c>
      <c r="E9" s="6"/>
    </row>
    <row r="10" customFormat="false" ht="7.5" hidden="false" customHeight="true" outlineLevel="0" collapsed="false"/>
    <row r="11" customFormat="false" ht="19.5" hidden="false" customHeight="true" outlineLevel="0" collapsed="false">
      <c r="B11" s="27" t="s">
        <v>367</v>
      </c>
      <c r="C11" s="28"/>
      <c r="D11" s="28"/>
      <c r="E11" s="28"/>
    </row>
    <row r="12" customFormat="false" ht="19.5" hidden="false" customHeight="true" outlineLevel="0" collapsed="false">
      <c r="B12" s="20" t="s">
        <v>368</v>
      </c>
      <c r="C12" s="55" t="n">
        <v>0.043</v>
      </c>
      <c r="D12" s="38" t="s">
        <v>369</v>
      </c>
      <c r="E12" s="6"/>
    </row>
    <row r="13" customFormat="false" ht="19.5" hidden="false" customHeight="true" outlineLevel="0" collapsed="false">
      <c r="B13" s="22" t="s">
        <v>370</v>
      </c>
      <c r="C13" s="56" t="n">
        <v>0.055</v>
      </c>
      <c r="D13" s="37" t="s">
        <v>371</v>
      </c>
      <c r="E13" s="10"/>
    </row>
    <row r="14" customFormat="false" ht="19.5" hidden="false" customHeight="true" outlineLevel="0" collapsed="false">
      <c r="B14" s="20" t="s">
        <v>372</v>
      </c>
      <c r="C14" s="102" t="n">
        <v>1.3</v>
      </c>
      <c r="D14" s="38" t="s">
        <v>373</v>
      </c>
      <c r="E14" s="6"/>
    </row>
    <row r="15" customFormat="false" ht="19.5" hidden="false" customHeight="true" outlineLevel="0" collapsed="false">
      <c r="B15" s="22" t="s">
        <v>374</v>
      </c>
      <c r="C15" s="23" t="n">
        <f aca="false">C12+C14*C13</f>
        <v>0.1145</v>
      </c>
      <c r="D15" s="37" t="s">
        <v>375</v>
      </c>
      <c r="E15" s="10"/>
    </row>
    <row r="16" customFormat="false" ht="19.5" hidden="false" customHeight="true" outlineLevel="0" collapsed="false">
      <c r="B16" s="20" t="s">
        <v>376</v>
      </c>
      <c r="C16" s="55" t="n">
        <v>0.05</v>
      </c>
      <c r="D16" s="38" t="s">
        <v>377</v>
      </c>
      <c r="E16" s="6"/>
    </row>
    <row r="17" customFormat="false" ht="19.5" hidden="false" customHeight="true" outlineLevel="0" collapsed="false">
      <c r="B17" s="24" t="s">
        <v>378</v>
      </c>
      <c r="C17" s="103" t="n">
        <v>0.095</v>
      </c>
      <c r="D17" s="37" t="s">
        <v>379</v>
      </c>
      <c r="E17" s="10"/>
    </row>
    <row r="18" customFormat="false" ht="7.5" hidden="false" customHeight="true" outlineLevel="0" collapsed="false"/>
    <row r="19" customFormat="false" ht="19.5" hidden="false" customHeight="true" outlineLevel="0" collapsed="false">
      <c r="B19" s="27" t="s">
        <v>380</v>
      </c>
      <c r="C19" s="28"/>
      <c r="D19" s="28"/>
      <c r="E19" s="28"/>
    </row>
    <row r="20" customFormat="false" ht="19.5" hidden="false" customHeight="true" outlineLevel="0" collapsed="false">
      <c r="B20" s="30" t="s">
        <v>381</v>
      </c>
      <c r="C20" s="81" t="n">
        <f aca="false">C9/C17</f>
        <v>46266.3832631579</v>
      </c>
      <c r="D20" s="38" t="s">
        <v>382</v>
      </c>
      <c r="E20" s="6"/>
    </row>
    <row r="21" customFormat="false" ht="7.5" hidden="false" customHeight="true" outlineLevel="0" collapsed="false"/>
    <row r="22" customFormat="false" ht="19.5" hidden="false" customHeight="true" outlineLevel="0" collapsed="false">
      <c r="B22" s="27" t="s">
        <v>383</v>
      </c>
      <c r="C22" s="28"/>
      <c r="D22" s="28"/>
      <c r="E22" s="28"/>
    </row>
    <row r="23" customFormat="false" ht="19.5" hidden="false" customHeight="true" outlineLevel="0" collapsed="false">
      <c r="B23" s="20" t="s">
        <v>384</v>
      </c>
      <c r="C23" s="21" t="n">
        <v>11700</v>
      </c>
      <c r="D23" s="38" t="s">
        <v>385</v>
      </c>
      <c r="E23" s="6"/>
    </row>
    <row r="24" customFormat="false" ht="19.5" hidden="false" customHeight="true" outlineLevel="0" collapsed="false">
      <c r="B24" s="22" t="s">
        <v>386</v>
      </c>
      <c r="C24" s="36" t="n">
        <v>-10000</v>
      </c>
      <c r="D24" s="37" t="s">
        <v>387</v>
      </c>
      <c r="E24" s="10"/>
    </row>
    <row r="25" customFormat="false" ht="19.5" hidden="false" customHeight="true" outlineLevel="0" collapsed="false">
      <c r="B25" s="20" t="s">
        <v>388</v>
      </c>
      <c r="C25" s="21" t="n">
        <v>7000</v>
      </c>
      <c r="D25" s="38" t="s">
        <v>389</v>
      </c>
      <c r="E25" s="6"/>
    </row>
    <row r="26" customFormat="false" ht="19.5" hidden="false" customHeight="true" outlineLevel="0" collapsed="false">
      <c r="B26" s="24" t="s">
        <v>390</v>
      </c>
      <c r="C26" s="104" t="n">
        <f aca="false">C20+C23+C24+C25</f>
        <v>54966.3832631579</v>
      </c>
      <c r="D26" s="37" t="s">
        <v>391</v>
      </c>
      <c r="E26" s="10"/>
    </row>
    <row r="27" customFormat="false" ht="7.5" hidden="false" customHeight="true" outlineLevel="0" collapsed="false"/>
    <row r="28" customFormat="false" ht="19.5" hidden="false" customHeight="true" outlineLevel="0" collapsed="false">
      <c r="B28" s="27" t="s">
        <v>392</v>
      </c>
      <c r="C28" s="28"/>
      <c r="D28" s="28"/>
      <c r="E28" s="28"/>
    </row>
    <row r="29" customFormat="false" ht="19.5" hidden="false" customHeight="true" outlineLevel="0" collapsed="false">
      <c r="B29" s="20" t="s">
        <v>393</v>
      </c>
      <c r="C29" s="21" t="n">
        <v>2127</v>
      </c>
      <c r="D29" s="38" t="s">
        <v>394</v>
      </c>
      <c r="E29" s="6"/>
    </row>
    <row r="30" customFormat="false" ht="19.5" hidden="false" customHeight="true" outlineLevel="0" collapsed="false">
      <c r="B30" s="24" t="s">
        <v>395</v>
      </c>
      <c r="C30" s="105" t="n">
        <f aca="false">C26/C29</f>
        <v>25.8422112191622</v>
      </c>
      <c r="D30" s="37" t="s">
        <v>396</v>
      </c>
      <c r="E30" s="10"/>
    </row>
    <row r="31" customFormat="false" ht="7.5" hidden="false" customHeight="true" outlineLevel="0" collapsed="false"/>
    <row r="32" customFormat="false" ht="19.5" hidden="false" customHeight="true" outlineLevel="0" collapsed="false">
      <c r="B32" s="27" t="s">
        <v>397</v>
      </c>
      <c r="C32" s="28"/>
      <c r="D32" s="28"/>
      <c r="E32" s="28"/>
    </row>
    <row r="33" customFormat="false" ht="19.5" hidden="false" customHeight="true" outlineLevel="0" collapsed="false">
      <c r="B33" s="20" t="s">
        <v>398</v>
      </c>
      <c r="C33" s="106" t="n">
        <v>70.4</v>
      </c>
      <c r="D33" s="38" t="s">
        <v>15</v>
      </c>
      <c r="E33" s="6"/>
    </row>
    <row r="34" customFormat="false" ht="19.5" hidden="false" customHeight="true" outlineLevel="0" collapsed="false">
      <c r="B34" s="22" t="s">
        <v>399</v>
      </c>
      <c r="C34" s="56" t="n">
        <v>0.12</v>
      </c>
      <c r="D34" s="37" t="s">
        <v>400</v>
      </c>
      <c r="E34" s="10"/>
    </row>
    <row r="35" customFormat="false" ht="19.5" hidden="false" customHeight="true" outlineLevel="0" collapsed="false">
      <c r="B35" s="20" t="s">
        <v>401</v>
      </c>
      <c r="C35" s="26" t="n">
        <f aca="false">(C33-C30)/C30</f>
        <v>1.72422508286744</v>
      </c>
      <c r="D35" s="38" t="s">
        <v>402</v>
      </c>
      <c r="E35" s="6"/>
    </row>
    <row r="36" customFormat="false" ht="19.5" hidden="false" customHeight="true" outlineLevel="0" collapsed="false">
      <c r="B36" s="22" t="s">
        <v>403</v>
      </c>
      <c r="C36" s="23" t="n">
        <f aca="false">(C30-C33)/C30</f>
        <v>-1.72422508286744</v>
      </c>
      <c r="D36" s="37" t="s">
        <v>404</v>
      </c>
      <c r="E36" s="10"/>
    </row>
    <row r="37" customFormat="false" ht="19.5" hidden="false" customHeight="true" outlineLevel="0" collapsed="false">
      <c r="B37" s="20" t="s">
        <v>405</v>
      </c>
      <c r="C37" s="107" t="n">
        <f aca="false">143300/C9</f>
        <v>32.6029602109128</v>
      </c>
      <c r="D37" s="38" t="s">
        <v>406</v>
      </c>
      <c r="E37" s="6"/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24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407</v>
      </c>
      <c r="C2" s="18"/>
      <c r="D2" s="18"/>
      <c r="E2" s="18"/>
    </row>
    <row r="3" customFormat="false" ht="21.75" hidden="false" customHeight="true" outlineLevel="0" collapsed="false">
      <c r="B3" s="97" t="s">
        <v>408</v>
      </c>
      <c r="C3" s="97"/>
      <c r="D3" s="97"/>
      <c r="E3" s="97"/>
    </row>
    <row r="4" customFormat="false" ht="13.5" hidden="false" customHeight="true" outlineLevel="0" collapsed="false">
      <c r="B4" s="108" t="s">
        <v>409</v>
      </c>
      <c r="C4" s="109" t="n">
        <f aca="false">EPV!C26</f>
        <v>54966.3832631579</v>
      </c>
    </row>
    <row r="5" customFormat="false" ht="21.75" hidden="false" customHeight="true" outlineLevel="0" collapsed="false">
      <c r="B5" s="19" t="s">
        <v>191</v>
      </c>
      <c r="C5" s="19" t="s">
        <v>410</v>
      </c>
      <c r="D5" s="19" t="s">
        <v>83</v>
      </c>
    </row>
    <row r="6" customFormat="false" ht="19.5" hidden="false" customHeight="true" outlineLevel="0" collapsed="false">
      <c r="B6" s="27" t="s">
        <v>411</v>
      </c>
      <c r="C6" s="28"/>
      <c r="D6" s="28"/>
      <c r="E6" s="28"/>
    </row>
    <row r="7" customFormat="false" ht="19.5" hidden="false" customHeight="true" outlineLevel="0" collapsed="false">
      <c r="B7" s="20" t="s">
        <v>412</v>
      </c>
      <c r="C7" s="99" t="n">
        <f aca="false">EPV!C26</f>
        <v>54966.3832631579</v>
      </c>
      <c r="D7" s="38" t="s">
        <v>413</v>
      </c>
      <c r="E7" s="6"/>
    </row>
    <row r="8" customFormat="false" ht="19.5" hidden="false" customHeight="true" outlineLevel="0" collapsed="false">
      <c r="B8" s="22" t="s">
        <v>414</v>
      </c>
      <c r="C8" s="100" t="n">
        <f aca="false">'Reproduction Value'!D39</f>
        <v>47338.95</v>
      </c>
      <c r="D8" s="37" t="s">
        <v>415</v>
      </c>
      <c r="E8" s="10"/>
    </row>
    <row r="9" customFormat="false" ht="7.5" hidden="false" customHeight="true" outlineLevel="0" collapsed="false"/>
    <row r="10" customFormat="false" ht="19.5" hidden="false" customHeight="true" outlineLevel="0" collapsed="false">
      <c r="B10" s="27" t="s">
        <v>416</v>
      </c>
      <c r="C10" s="28"/>
      <c r="D10" s="28"/>
      <c r="E10" s="28"/>
    </row>
    <row r="11" customFormat="false" ht="19.5" hidden="false" customHeight="true" outlineLevel="0" collapsed="false">
      <c r="B11" s="30" t="s">
        <v>417</v>
      </c>
      <c r="C11" s="110" t="n">
        <f aca="false">IF(C8&lt;&gt;0,C7/C8,0)</f>
        <v>1.16112383699169</v>
      </c>
      <c r="D11" s="38" t="s">
        <v>418</v>
      </c>
      <c r="E11" s="6"/>
    </row>
    <row r="12" customFormat="false" ht="19.5" hidden="false" customHeight="true" outlineLevel="0" collapsed="false">
      <c r="B12" s="22" t="s">
        <v>419</v>
      </c>
      <c r="C12" s="67" t="n">
        <f aca="false">C7-C8</f>
        <v>7627.4332631579</v>
      </c>
      <c r="D12" s="37" t="s">
        <v>420</v>
      </c>
      <c r="E12" s="10"/>
    </row>
    <row r="13" customFormat="false" ht="19.5" hidden="false" customHeight="true" outlineLevel="0" collapsed="false">
      <c r="B13" s="20" t="s">
        <v>421</v>
      </c>
      <c r="C13" s="111" t="n">
        <f aca="false">IF(C8&lt;&gt;0,C7/C8,0)</f>
        <v>1.16112383699169</v>
      </c>
      <c r="D13" s="38"/>
      <c r="E13" s="6"/>
    </row>
    <row r="14" customFormat="false" ht="7.5" hidden="false" customHeight="true" outlineLevel="0" collapsed="false"/>
    <row r="15" customFormat="false" ht="19.5" hidden="false" customHeight="true" outlineLevel="0" collapsed="false">
      <c r="B15" s="27" t="s">
        <v>422</v>
      </c>
      <c r="C15" s="28"/>
      <c r="D15" s="28"/>
      <c r="E15" s="28"/>
    </row>
    <row r="16" customFormat="false" ht="19.5" hidden="false" customHeight="true" outlineLevel="0" collapsed="false">
      <c r="B16" s="20" t="s">
        <v>423</v>
      </c>
      <c r="C16" s="55" t="n">
        <v>0.167</v>
      </c>
      <c r="D16" s="38" t="s">
        <v>424</v>
      </c>
      <c r="E16" s="6"/>
    </row>
    <row r="17" customFormat="false" ht="19.5" hidden="false" customHeight="true" outlineLevel="0" collapsed="false">
      <c r="B17" s="22" t="s">
        <v>378</v>
      </c>
      <c r="C17" s="56" t="n">
        <v>0.095</v>
      </c>
      <c r="D17" s="37" t="s">
        <v>379</v>
      </c>
      <c r="E17" s="10"/>
    </row>
    <row r="18" customFormat="false" ht="19.5" hidden="false" customHeight="true" outlineLevel="0" collapsed="false">
      <c r="B18" s="20" t="s">
        <v>425</v>
      </c>
      <c r="C18" s="111" t="n">
        <f aca="false">C16/C17</f>
        <v>1.75789473684211</v>
      </c>
      <c r="D18" s="38" t="s">
        <v>426</v>
      </c>
      <c r="E18" s="6"/>
    </row>
    <row r="19" customFormat="false" ht="19.5" hidden="false" customHeight="true" outlineLevel="0" collapsed="false">
      <c r="B19" s="24" t="s">
        <v>218</v>
      </c>
      <c r="C19" s="96" t="n">
        <f aca="false">C16-C17</f>
        <v>0.072</v>
      </c>
      <c r="D19" s="37" t="s">
        <v>427</v>
      </c>
      <c r="E19" s="10"/>
    </row>
    <row r="20" customFormat="false" ht="7.5" hidden="false" customHeight="true" outlineLevel="0" collapsed="false"/>
    <row r="21" customFormat="false" ht="19.5" hidden="false" customHeight="true" outlineLevel="0" collapsed="false">
      <c r="B21" s="27" t="s">
        <v>428</v>
      </c>
      <c r="C21" s="28"/>
      <c r="D21" s="28"/>
      <c r="E21" s="28"/>
    </row>
    <row r="22" customFormat="false" ht="19.5" hidden="false" customHeight="true" outlineLevel="0" collapsed="false">
      <c r="B22" s="20" t="s">
        <v>429</v>
      </c>
      <c r="C22" s="112" t="str">
        <f aca="false">IF(C16&gt;C17,"YES — ROIC &gt; WACC ✓","NO — Value destruction")</f>
        <v>YES — ROIC &gt; WACC ✓</v>
      </c>
      <c r="D22" s="38" t="s">
        <v>430</v>
      </c>
      <c r="E22" s="6"/>
    </row>
    <row r="23" customFormat="false" ht="19.5" hidden="false" customHeight="true" outlineLevel="0" collapsed="false">
      <c r="B23" s="22" t="s">
        <v>431</v>
      </c>
      <c r="C23" s="46" t="str">
        <f aca="false">IF(C11&gt;1.5,"Strong Franchise",IF(C11&gt;1,"Moderate Moat","No Moat"))</f>
        <v>Moderate Moat</v>
      </c>
      <c r="D23" s="37" t="s">
        <v>432</v>
      </c>
      <c r="E23" s="10"/>
    </row>
    <row r="24" customFormat="false" ht="7.5" hidden="false" customHeight="true" outlineLevel="0" collapsed="false"/>
    <row r="25" customFormat="false" ht="19.5" hidden="false" customHeight="true" outlineLevel="0" collapsed="false">
      <c r="B25" s="27" t="s">
        <v>433</v>
      </c>
      <c r="C25" s="28"/>
      <c r="D25" s="28"/>
      <c r="E25" s="28"/>
    </row>
    <row r="26" customFormat="false" ht="19.5" hidden="false" customHeight="true" outlineLevel="0" collapsed="false">
      <c r="B26" s="20" t="s">
        <v>434</v>
      </c>
      <c r="C26" s="55" t="n">
        <v>0.02</v>
      </c>
      <c r="D26" s="38" t="s">
        <v>435</v>
      </c>
      <c r="E26" s="6"/>
    </row>
    <row r="27" customFormat="false" ht="19.5" hidden="false" customHeight="true" outlineLevel="0" collapsed="false">
      <c r="B27" s="22" t="s">
        <v>436</v>
      </c>
      <c r="C27" s="29" t="n">
        <v>4000</v>
      </c>
      <c r="D27" s="37" t="s">
        <v>437</v>
      </c>
      <c r="E27" s="10"/>
    </row>
    <row r="28" customFormat="false" ht="19.5" hidden="false" customHeight="true" outlineLevel="0" collapsed="false">
      <c r="B28" s="20" t="s">
        <v>438</v>
      </c>
      <c r="C28" s="77" t="n">
        <f aca="false">(C26/C17)*EPV!C9</f>
        <v>925.327665263158</v>
      </c>
      <c r="D28" s="38" t="s">
        <v>439</v>
      </c>
      <c r="E28" s="6"/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5" min="3" style="1" width="18"/>
    <col collapsed="false" customWidth="true" hidden="false" outlineLevel="0" max="6" min="6" style="1" width="2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440</v>
      </c>
      <c r="C2" s="18"/>
      <c r="D2" s="18"/>
      <c r="E2" s="18"/>
      <c r="F2" s="18"/>
    </row>
    <row r="3" customFormat="false" ht="21.75" hidden="false" customHeight="true" outlineLevel="0" collapsed="false">
      <c r="B3" s="113" t="s">
        <v>441</v>
      </c>
      <c r="C3" s="113"/>
      <c r="D3" s="113"/>
      <c r="E3" s="113"/>
      <c r="F3" s="113"/>
    </row>
    <row r="4" customFormat="false" ht="21.75" hidden="false" customHeight="true" outlineLevel="0" collapsed="false">
      <c r="B4" s="19" t="s">
        <v>442</v>
      </c>
      <c r="C4" s="19" t="s">
        <v>443</v>
      </c>
      <c r="D4" s="19" t="s">
        <v>444</v>
      </c>
      <c r="E4" s="19" t="s">
        <v>445</v>
      </c>
      <c r="F4" s="19" t="s">
        <v>83</v>
      </c>
    </row>
    <row r="5" customFormat="false" ht="21.75" hidden="false" customHeight="true" outlineLevel="0" collapsed="false">
      <c r="B5" s="74" t="s">
        <v>446</v>
      </c>
      <c r="C5" s="74"/>
      <c r="D5" s="74"/>
      <c r="E5" s="74"/>
      <c r="F5" s="74"/>
    </row>
    <row r="6" customFormat="false" ht="19.5" hidden="false" customHeight="true" outlineLevel="0" collapsed="false">
      <c r="B6" s="20" t="s">
        <v>447</v>
      </c>
      <c r="C6" s="114" t="n">
        <v>70.4</v>
      </c>
      <c r="D6" s="106" t="n">
        <v>70.4</v>
      </c>
      <c r="E6" s="106" t="n">
        <v>70.4</v>
      </c>
      <c r="F6" s="38" t="s">
        <v>448</v>
      </c>
    </row>
    <row r="7" customFormat="false" ht="19.5" hidden="false" customHeight="true" outlineLevel="0" collapsed="false">
      <c r="B7" s="22" t="s">
        <v>449</v>
      </c>
      <c r="C7" s="29" t="n">
        <v>5</v>
      </c>
      <c r="D7" s="29" t="n">
        <v>5</v>
      </c>
      <c r="E7" s="29" t="n">
        <v>5</v>
      </c>
      <c r="F7" s="37" t="s">
        <v>450</v>
      </c>
    </row>
    <row r="8" customFormat="false" ht="19.5" hidden="false" customHeight="true" outlineLevel="0" collapsed="false">
      <c r="B8" s="20" t="s">
        <v>451</v>
      </c>
      <c r="C8" s="99" t="n">
        <f aca="false">NOPAT!J30</f>
        <v>4395.30641</v>
      </c>
      <c r="D8" s="99" t="n">
        <f aca="false">NOPAT!J30</f>
        <v>4395.30641</v>
      </c>
      <c r="E8" s="99" t="n">
        <f aca="false">NOPAT!J30</f>
        <v>4395.30641</v>
      </c>
      <c r="F8" s="38" t="s">
        <v>452</v>
      </c>
    </row>
    <row r="9" customFormat="false" ht="19.5" hidden="false" customHeight="true" outlineLevel="0" collapsed="false">
      <c r="B9" s="22" t="s">
        <v>434</v>
      </c>
      <c r="C9" s="56" t="n">
        <v>0.01</v>
      </c>
      <c r="D9" s="56" t="n">
        <v>0.02</v>
      </c>
      <c r="E9" s="56" t="n">
        <v>0.04</v>
      </c>
      <c r="F9" s="37" t="s">
        <v>453</v>
      </c>
    </row>
    <row r="10" customFormat="false" ht="19.5" hidden="false" customHeight="true" outlineLevel="0" collapsed="false">
      <c r="B10" s="20" t="s">
        <v>454</v>
      </c>
      <c r="C10" s="21" t="n">
        <v>14</v>
      </c>
      <c r="D10" s="21" t="n">
        <v>18</v>
      </c>
      <c r="E10" s="21" t="n">
        <v>22</v>
      </c>
      <c r="F10" s="38" t="s">
        <v>455</v>
      </c>
    </row>
    <row r="11" customFormat="false" ht="19.5" hidden="false" customHeight="true" outlineLevel="0" collapsed="false">
      <c r="B11" s="22" t="s">
        <v>456</v>
      </c>
      <c r="C11" s="29" t="n">
        <v>2</v>
      </c>
      <c r="D11" s="29" t="n">
        <v>4</v>
      </c>
      <c r="E11" s="29" t="n">
        <v>5</v>
      </c>
      <c r="F11" s="37" t="s">
        <v>457</v>
      </c>
    </row>
    <row r="12" customFormat="false" ht="19.5" hidden="false" customHeight="true" outlineLevel="0" collapsed="false">
      <c r="B12" s="20" t="s">
        <v>458</v>
      </c>
      <c r="C12" s="21" t="n">
        <v>2127</v>
      </c>
      <c r="D12" s="21" t="n">
        <v>2127</v>
      </c>
      <c r="E12" s="21" t="n">
        <v>2127</v>
      </c>
      <c r="F12" s="38" t="s">
        <v>394</v>
      </c>
    </row>
    <row r="13" customFormat="false" ht="19.5" hidden="false" customHeight="true" outlineLevel="0" collapsed="false">
      <c r="B13" s="22" t="s">
        <v>459</v>
      </c>
      <c r="C13" s="29" t="n">
        <v>70.4</v>
      </c>
      <c r="D13" s="29" t="n">
        <v>70.4</v>
      </c>
      <c r="E13" s="29" t="n">
        <v>70.4</v>
      </c>
      <c r="F13" s="37" t="s">
        <v>460</v>
      </c>
    </row>
    <row r="14" customFormat="false" ht="7.5" hidden="false" customHeight="true" outlineLevel="0" collapsed="false"/>
    <row r="15" customFormat="false" ht="21.75" hidden="false" customHeight="true" outlineLevel="0" collapsed="false">
      <c r="B15" s="74" t="s">
        <v>461</v>
      </c>
      <c r="C15" s="74"/>
      <c r="D15" s="74"/>
      <c r="E15" s="74"/>
      <c r="F15" s="74"/>
    </row>
    <row r="16" customFormat="false" ht="19.5" hidden="false" customHeight="true" outlineLevel="0" collapsed="false">
      <c r="B16" s="75" t="s">
        <v>462</v>
      </c>
      <c r="C16" s="75" t="s">
        <v>463</v>
      </c>
      <c r="D16" s="75" t="s">
        <v>464</v>
      </c>
      <c r="E16" s="75" t="s">
        <v>465</v>
      </c>
      <c r="F16" s="75" t="s">
        <v>83</v>
      </c>
    </row>
    <row r="17" customFormat="false" ht="18" hidden="false" customHeight="true" outlineLevel="0" collapsed="false">
      <c r="B17" s="115" t="s">
        <v>466</v>
      </c>
      <c r="C17" s="79" t="n">
        <f aca="false">NOPAT!J30*(1+C9)</f>
        <v>4439.2594741</v>
      </c>
      <c r="D17" s="79" t="n">
        <f aca="false">NOPAT!J30*(1+D9)</f>
        <v>4483.2125382</v>
      </c>
      <c r="E17" s="79" t="n">
        <f aca="false">NOPAT!J30*(1+E9)</f>
        <v>4571.1186664</v>
      </c>
      <c r="F17" s="10"/>
    </row>
    <row r="18" customFormat="false" ht="18" hidden="false" customHeight="true" outlineLevel="0" collapsed="false">
      <c r="B18" s="116" t="s">
        <v>467</v>
      </c>
      <c r="C18" s="77" t="n">
        <f aca="false">C17*(1+C9)</f>
        <v>4483.652068841</v>
      </c>
      <c r="D18" s="77" t="n">
        <f aca="false">D17*(1+D9)</f>
        <v>4572.876788964</v>
      </c>
      <c r="E18" s="77" t="n">
        <f aca="false">E17*(1+E9)</f>
        <v>4753.963413056</v>
      </c>
      <c r="F18" s="6"/>
    </row>
    <row r="19" customFormat="false" ht="18" hidden="false" customHeight="true" outlineLevel="0" collapsed="false">
      <c r="B19" s="115" t="s">
        <v>468</v>
      </c>
      <c r="C19" s="79" t="n">
        <f aca="false">C18*(1+C9)</f>
        <v>4528.48858952941</v>
      </c>
      <c r="D19" s="79" t="n">
        <f aca="false">D18*(1+D9)</f>
        <v>4664.33432474328</v>
      </c>
      <c r="E19" s="79" t="n">
        <f aca="false">E18*(1+E9)</f>
        <v>4944.12194957824</v>
      </c>
      <c r="F19" s="10"/>
    </row>
    <row r="20" customFormat="false" ht="18" hidden="false" customHeight="true" outlineLevel="0" collapsed="false">
      <c r="B20" s="116" t="s">
        <v>469</v>
      </c>
      <c r="C20" s="77" t="n">
        <f aca="false">C19*(1+C9)</f>
        <v>4573.7734754247</v>
      </c>
      <c r="D20" s="77" t="n">
        <f aca="false">D19*(1+D9)</f>
        <v>4757.62101123815</v>
      </c>
      <c r="E20" s="77" t="n">
        <f aca="false">E19*(1+E9)</f>
        <v>5141.88682756137</v>
      </c>
      <c r="F20" s="6"/>
    </row>
    <row r="21" customFormat="false" ht="18" hidden="false" customHeight="true" outlineLevel="0" collapsed="false">
      <c r="B21" s="115" t="s">
        <v>470</v>
      </c>
      <c r="C21" s="79" t="n">
        <f aca="false">C20*(1+C9)</f>
        <v>4619.51121017895</v>
      </c>
      <c r="D21" s="79" t="n">
        <f aca="false">D20*(1+D9)</f>
        <v>4852.77343146291</v>
      </c>
      <c r="E21" s="79" t="n">
        <f aca="false">E20*(1+E9)</f>
        <v>5347.56230066383</v>
      </c>
      <c r="F21" s="10"/>
    </row>
    <row r="22" customFormat="false" ht="19.5" hidden="false" customHeight="true" outlineLevel="0" collapsed="false">
      <c r="B22" s="117" t="s">
        <v>471</v>
      </c>
      <c r="C22" s="118" t="n">
        <f aca="false">C21</f>
        <v>4619.51121017895</v>
      </c>
      <c r="D22" s="118" t="n">
        <f aca="false">D21</f>
        <v>4852.77343146291</v>
      </c>
      <c r="E22" s="118" t="n">
        <f aca="false">E21</f>
        <v>5347.56230066383</v>
      </c>
    </row>
    <row r="23" customFormat="false" ht="21.75" hidden="false" customHeight="true" outlineLevel="0" collapsed="false">
      <c r="B23" s="117" t="s">
        <v>472</v>
      </c>
      <c r="C23" s="41" t="n">
        <f aca="false">C22*C10</f>
        <v>64673.1569425053</v>
      </c>
      <c r="D23" s="41" t="n">
        <f aca="false">D22*D10</f>
        <v>87349.9217663324</v>
      </c>
      <c r="E23" s="41" t="n">
        <f aca="false">E22*E10</f>
        <v>117646.370614604</v>
      </c>
    </row>
    <row r="24" customFormat="false" ht="19.5" hidden="false" customHeight="true" outlineLevel="0" collapsed="false">
      <c r="B24" s="117" t="s">
        <v>473</v>
      </c>
      <c r="C24" s="118" t="n">
        <f aca="false">C23+2200</f>
        <v>66873.1569425053</v>
      </c>
      <c r="D24" s="118" t="n">
        <f aca="false">D23+2200</f>
        <v>89549.9217663324</v>
      </c>
      <c r="E24" s="118" t="n">
        <f aca="false">E23+2200</f>
        <v>119846.370614604</v>
      </c>
    </row>
    <row r="25" customFormat="false" ht="19.5" hidden="false" customHeight="true" outlineLevel="0" collapsed="false">
      <c r="B25" s="119" t="s">
        <v>474</v>
      </c>
      <c r="C25" s="120" t="n">
        <f aca="false">C24/(2127-5*C11*1000/70.4)</f>
        <v>33.6900192982463</v>
      </c>
      <c r="D25" s="120" t="n">
        <f aca="false">D24/(2127-5*D11*1000/70.4)</f>
        <v>48.5916110610525</v>
      </c>
      <c r="E25" s="120" t="n">
        <f aca="false">E24/(2127-5*E11*1000/70.4)</f>
        <v>67.6377295260904</v>
      </c>
    </row>
    <row r="26" customFormat="false" ht="15" hidden="false" customHeight="false" outlineLevel="0" collapsed="false"/>
    <row r="27" customFormat="false" ht="21.75" hidden="false" customHeight="true" outlineLevel="0" collapsed="false">
      <c r="B27" s="74" t="s">
        <v>475</v>
      </c>
      <c r="C27" s="74"/>
      <c r="D27" s="74"/>
      <c r="E27" s="74"/>
      <c r="F27" s="74"/>
    </row>
    <row r="28" customFormat="false" ht="27.75" hidden="false" customHeight="true" outlineLevel="0" collapsed="false">
      <c r="B28" s="121" t="s">
        <v>476</v>
      </c>
      <c r="C28" s="122" t="n">
        <f aca="false">(C25/C6)^(1/5)-1</f>
        <v>-0.137049827048207</v>
      </c>
      <c r="D28" s="122" t="n">
        <f aca="false">(D25/D6)^(1/5)-1</f>
        <v>-0.0714661774943024</v>
      </c>
      <c r="E28" s="122" t="n">
        <f aca="false">(E25/E6)^(1/5)-1</f>
        <v>-0.00797350297708166</v>
      </c>
    </row>
    <row r="29" customFormat="false" ht="19.5" hidden="false" customHeight="true" outlineLevel="0" collapsed="false">
      <c r="B29" s="123" t="s">
        <v>477</v>
      </c>
      <c r="C29" s="124" t="n">
        <v>0.12</v>
      </c>
      <c r="D29" s="124" t="n">
        <v>0.12</v>
      </c>
      <c r="E29" s="124" t="n">
        <v>0.12</v>
      </c>
    </row>
    <row r="30" customFormat="false" ht="19.5" hidden="false" customHeight="true" outlineLevel="0" collapsed="false">
      <c r="B30" s="117" t="s">
        <v>478</v>
      </c>
      <c r="C30" s="125" t="str">
        <f aca="false">IF(C28&gt;=C29,"PASS ✓","FAIL ✗")</f>
        <v>FAIL ✗</v>
      </c>
      <c r="D30" s="125" t="str">
        <f aca="false">IF(D28&gt;=D29,"PASS ✓","FAIL ✗")</f>
        <v>FAIL ✗</v>
      </c>
      <c r="E30" s="125" t="str">
        <f aca="false">IF(E28&gt;=E29,"PASS ✓","FAIL ✗")</f>
        <v>FAIL ✗</v>
      </c>
    </row>
    <row r="31" customFormat="false" ht="19.5" hidden="false" customHeight="true" outlineLevel="0" collapsed="false">
      <c r="B31" s="126" t="s">
        <v>479</v>
      </c>
      <c r="C31" s="127" t="s">
        <v>443</v>
      </c>
      <c r="D31" s="127" t="s">
        <v>444</v>
      </c>
      <c r="E31" s="127" t="s">
        <v>445</v>
      </c>
    </row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</sheetData>
  <mergeCells count="5">
    <mergeCell ref="B2:F2"/>
    <mergeCell ref="B3:F3"/>
    <mergeCell ref="B5:F5"/>
    <mergeCell ref="B15:F15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6" min="3" style="1" width="2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28" t="s">
        <v>480</v>
      </c>
      <c r="C2" s="128"/>
      <c r="D2" s="128"/>
      <c r="E2" s="128"/>
      <c r="F2" s="128"/>
    </row>
    <row r="3" customFormat="false" ht="21.75" hidden="false" customHeight="true" outlineLevel="0" collapsed="false">
      <c r="B3" s="58" t="s">
        <v>481</v>
      </c>
      <c r="C3" s="58"/>
      <c r="D3" s="58"/>
      <c r="E3" s="58"/>
      <c r="F3" s="58"/>
    </row>
    <row r="5" customFormat="false" ht="25.5" hidden="false" customHeight="true" outlineLevel="0" collapsed="false">
      <c r="B5" s="129" t="s">
        <v>482</v>
      </c>
      <c r="C5" s="129"/>
      <c r="D5" s="129"/>
      <c r="E5" s="129"/>
      <c r="F5" s="129"/>
    </row>
    <row r="6" customFormat="false" ht="21.75" hidden="false" customHeight="true" outlineLevel="0" collapsed="false">
      <c r="B6" s="130" t="s">
        <v>483</v>
      </c>
      <c r="C6" s="27" t="s">
        <v>195</v>
      </c>
      <c r="D6" s="131" t="s">
        <v>484</v>
      </c>
      <c r="E6" s="132" t="s">
        <v>485</v>
      </c>
      <c r="F6" s="28"/>
    </row>
    <row r="7" customFormat="false" ht="21.75" hidden="false" customHeight="true" outlineLevel="0" collapsed="false">
      <c r="B7" s="133" t="s">
        <v>486</v>
      </c>
      <c r="C7" s="134" t="s">
        <v>487</v>
      </c>
      <c r="D7" s="135" t="s">
        <v>488</v>
      </c>
      <c r="E7" s="136" t="s">
        <v>489</v>
      </c>
      <c r="F7" s="137"/>
    </row>
    <row r="8" customFormat="false" ht="21.75" hidden="false" customHeight="true" outlineLevel="0" collapsed="false">
      <c r="B8" s="130" t="s">
        <v>490</v>
      </c>
      <c r="C8" s="27" t="s">
        <v>491</v>
      </c>
      <c r="D8" s="131" t="s">
        <v>492</v>
      </c>
      <c r="E8" s="132" t="s">
        <v>493</v>
      </c>
      <c r="F8" s="28"/>
    </row>
    <row r="9" customFormat="false" ht="21.75" hidden="false" customHeight="true" outlineLevel="0" collapsed="false">
      <c r="B9" s="133" t="s">
        <v>494</v>
      </c>
      <c r="C9" s="134" t="s">
        <v>423</v>
      </c>
      <c r="D9" s="135" t="s">
        <v>495</v>
      </c>
      <c r="E9" s="136" t="s">
        <v>496</v>
      </c>
      <c r="F9" s="137"/>
    </row>
    <row r="10" customFormat="false" ht="21.75" hidden="false" customHeight="true" outlineLevel="0" collapsed="false">
      <c r="B10" s="130" t="s">
        <v>497</v>
      </c>
      <c r="C10" s="27" t="s">
        <v>434</v>
      </c>
      <c r="D10" s="131" t="s">
        <v>498</v>
      </c>
      <c r="E10" s="132" t="s">
        <v>499</v>
      </c>
      <c r="F10" s="28"/>
    </row>
    <row r="11" customFormat="false" ht="21.75" hidden="false" customHeight="true" outlineLevel="0" collapsed="false">
      <c r="B11" s="133" t="s">
        <v>500</v>
      </c>
      <c r="C11" s="134" t="s">
        <v>378</v>
      </c>
      <c r="D11" s="135" t="s">
        <v>501</v>
      </c>
      <c r="E11" s="136" t="s">
        <v>502</v>
      </c>
      <c r="F11" s="137"/>
    </row>
    <row r="12" customFormat="false" ht="21.75" hidden="false" customHeight="true" outlineLevel="0" collapsed="false">
      <c r="B12" s="130" t="s">
        <v>503</v>
      </c>
      <c r="C12" s="27" t="s">
        <v>436</v>
      </c>
      <c r="D12" s="131" t="s">
        <v>504</v>
      </c>
      <c r="E12" s="132" t="s">
        <v>505</v>
      </c>
      <c r="F12" s="28"/>
    </row>
    <row r="13" customFormat="false" ht="21.75" hidden="false" customHeight="true" outlineLevel="0" collapsed="false">
      <c r="B13" s="133" t="s">
        <v>506</v>
      </c>
      <c r="C13" s="134" t="s">
        <v>39</v>
      </c>
      <c r="D13" s="135" t="s">
        <v>40</v>
      </c>
      <c r="E13" s="136" t="s">
        <v>507</v>
      </c>
      <c r="F13" s="137"/>
    </row>
    <row r="14" customFormat="false" ht="21.75" hidden="false" customHeight="true" outlineLevel="0" collapsed="false">
      <c r="B14" s="130" t="s">
        <v>508</v>
      </c>
      <c r="C14" s="27" t="s">
        <v>509</v>
      </c>
      <c r="D14" s="131" t="s">
        <v>510</v>
      </c>
      <c r="E14" s="132" t="s">
        <v>511</v>
      </c>
      <c r="F14" s="28"/>
    </row>
    <row r="17" customFormat="false" ht="25.5" hidden="false" customHeight="true" outlineLevel="0" collapsed="false">
      <c r="B17" s="129" t="s">
        <v>512</v>
      </c>
      <c r="C17" s="129"/>
      <c r="D17" s="129"/>
      <c r="E17" s="129"/>
      <c r="F17" s="129"/>
    </row>
    <row r="18" customFormat="false" ht="21.75" hidden="false" customHeight="true" outlineLevel="0" collapsed="false">
      <c r="B18" s="75" t="s">
        <v>164</v>
      </c>
      <c r="C18" s="75" t="s">
        <v>513</v>
      </c>
      <c r="D18" s="75" t="s">
        <v>83</v>
      </c>
      <c r="E18" s="75" t="s">
        <v>514</v>
      </c>
    </row>
    <row r="19" customFormat="false" ht="21.75" hidden="false" customHeight="true" outlineLevel="0" collapsed="false">
      <c r="B19" s="43" t="s">
        <v>390</v>
      </c>
      <c r="C19" s="138" t="n">
        <f aca="false">EPV!C26</f>
        <v>54966.3832631579</v>
      </c>
      <c r="D19" s="38" t="s">
        <v>515</v>
      </c>
      <c r="E19" s="38" t="s">
        <v>516</v>
      </c>
      <c r="F19" s="6"/>
    </row>
    <row r="20" customFormat="false" ht="21.75" hidden="false" customHeight="true" outlineLevel="0" collapsed="false">
      <c r="B20" s="46" t="s">
        <v>395</v>
      </c>
      <c r="C20" s="139" t="n">
        <f aca="false">EPV!C30</f>
        <v>25.8422112191622</v>
      </c>
      <c r="D20" s="37" t="s">
        <v>517</v>
      </c>
      <c r="E20" s="37" t="s">
        <v>516</v>
      </c>
      <c r="F20" s="10"/>
    </row>
    <row r="21" customFormat="false" ht="21.75" hidden="false" customHeight="true" outlineLevel="0" collapsed="false">
      <c r="B21" s="43" t="s">
        <v>518</v>
      </c>
      <c r="C21" s="138" t="n">
        <f aca="false">'Reproduction Value'!D39</f>
        <v>47338.95</v>
      </c>
      <c r="D21" s="38" t="s">
        <v>519</v>
      </c>
      <c r="E21" s="38" t="s">
        <v>520</v>
      </c>
      <c r="F21" s="6"/>
    </row>
    <row r="22" customFormat="false" ht="21.75" hidden="false" customHeight="true" outlineLevel="0" collapsed="false">
      <c r="B22" s="46" t="s">
        <v>521</v>
      </c>
      <c r="C22" s="139" t="n">
        <f aca="false">'Reproduction Value'!D41</f>
        <v>22.2562059238364</v>
      </c>
      <c r="D22" s="37" t="s">
        <v>522</v>
      </c>
      <c r="E22" s="37" t="s">
        <v>520</v>
      </c>
      <c r="F22" s="10"/>
    </row>
    <row r="23" customFormat="false" ht="21.75" hidden="false" customHeight="true" outlineLevel="0" collapsed="false">
      <c r="B23" s="43" t="s">
        <v>523</v>
      </c>
      <c r="C23" s="140" t="n">
        <f aca="false">'Franchise Value'!C11</f>
        <v>1.16112383699169</v>
      </c>
      <c r="D23" s="38" t="s">
        <v>524</v>
      </c>
      <c r="E23" s="38" t="s">
        <v>525</v>
      </c>
      <c r="F23" s="6"/>
    </row>
    <row r="24" customFormat="false" ht="21.75" hidden="false" customHeight="true" outlineLevel="0" collapsed="false">
      <c r="B24" s="46" t="s">
        <v>398</v>
      </c>
      <c r="C24" s="141" t="n">
        <v>70.4</v>
      </c>
      <c r="D24" s="37" t="s">
        <v>15</v>
      </c>
      <c r="E24" s="37" t="s">
        <v>526</v>
      </c>
      <c r="F24" s="10"/>
    </row>
    <row r="25" customFormat="false" ht="21.75" hidden="false" customHeight="true" outlineLevel="0" collapsed="false">
      <c r="B25" s="43" t="s">
        <v>527</v>
      </c>
      <c r="C25" s="142" t="n">
        <f aca="false">'Implied IRR'!C28</f>
        <v>-0.137049827048207</v>
      </c>
      <c r="D25" s="38" t="s">
        <v>528</v>
      </c>
      <c r="E25" s="38" t="s">
        <v>529</v>
      </c>
      <c r="F25" s="6"/>
    </row>
    <row r="26" customFormat="false" ht="21.75" hidden="false" customHeight="true" outlineLevel="0" collapsed="false">
      <c r="B26" s="46" t="s">
        <v>530</v>
      </c>
      <c r="C26" s="143" t="n">
        <f aca="false">'Implied IRR'!D28</f>
        <v>-0.0714661774943024</v>
      </c>
      <c r="D26" s="37" t="s">
        <v>531</v>
      </c>
      <c r="E26" s="37" t="s">
        <v>529</v>
      </c>
      <c r="F26" s="10"/>
    </row>
    <row r="27" customFormat="false" ht="21.75" hidden="false" customHeight="true" outlineLevel="0" collapsed="false">
      <c r="B27" s="43" t="s">
        <v>532</v>
      </c>
      <c r="C27" s="142" t="n">
        <f aca="false">'Implied IRR'!E28</f>
        <v>-0.00797350297708166</v>
      </c>
      <c r="D27" s="38" t="s">
        <v>533</v>
      </c>
      <c r="E27" s="38" t="s">
        <v>529</v>
      </c>
      <c r="F27" s="6"/>
    </row>
    <row r="28" customFormat="false" ht="21.75" hidden="false" customHeight="true" outlineLevel="0" collapsed="false">
      <c r="B28" s="46" t="s">
        <v>39</v>
      </c>
      <c r="C28" s="144" t="n">
        <v>0.12</v>
      </c>
      <c r="D28" s="37" t="s">
        <v>506</v>
      </c>
      <c r="E28" s="37" t="s">
        <v>534</v>
      </c>
      <c r="F28" s="10"/>
    </row>
    <row r="29" customFormat="false" ht="21.75" hidden="false" customHeight="true" outlineLevel="0" collapsed="false">
      <c r="B29" s="43" t="s">
        <v>535</v>
      </c>
      <c r="C29" s="138" t="str">
        <f aca="false">'Implied IRR'!D30</f>
        <v>FAIL ✗</v>
      </c>
      <c r="D29" s="38" t="s">
        <v>536</v>
      </c>
      <c r="E29" s="38" t="s">
        <v>529</v>
      </c>
      <c r="F29" s="6"/>
    </row>
    <row r="32" customFormat="false" ht="25.5" hidden="false" customHeight="true" outlineLevel="0" collapsed="false">
      <c r="B32" s="129" t="s">
        <v>537</v>
      </c>
      <c r="C32" s="129"/>
      <c r="D32" s="129"/>
      <c r="E32" s="129"/>
      <c r="F32" s="129"/>
    </row>
    <row r="33" customFormat="false" ht="49.5" hidden="false" customHeight="true" outlineLevel="0" collapsed="false">
      <c r="B33" s="145" t="s">
        <v>538</v>
      </c>
      <c r="C33" s="145"/>
      <c r="D33" s="145"/>
      <c r="E33" s="145"/>
      <c r="F33" s="145"/>
    </row>
    <row r="34" customFormat="false" ht="30" hidden="false" customHeight="true" outlineLevel="0" collapsed="false">
      <c r="B34" s="145"/>
      <c r="C34" s="145"/>
      <c r="D34" s="145"/>
      <c r="E34" s="145"/>
      <c r="F34" s="145"/>
    </row>
    <row r="35" customFormat="false" ht="30" hidden="false" customHeight="true" outlineLevel="0" collapsed="false">
      <c r="B35" s="145"/>
      <c r="C35" s="145"/>
      <c r="D35" s="145"/>
      <c r="E35" s="145"/>
      <c r="F35" s="145"/>
    </row>
    <row r="38" customFormat="false" ht="18" hidden="false" customHeight="true" outlineLevel="0" collapsed="false">
      <c r="B38" s="17" t="s">
        <v>539</v>
      </c>
      <c r="C38" s="17"/>
      <c r="D38" s="17"/>
      <c r="E38" s="17"/>
      <c r="F38" s="17"/>
    </row>
  </sheetData>
  <mergeCells count="7">
    <mergeCell ref="B2:F2"/>
    <mergeCell ref="B3:F3"/>
    <mergeCell ref="B5:F5"/>
    <mergeCell ref="B17:F17"/>
    <mergeCell ref="B32:F32"/>
    <mergeCell ref="B33:F35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F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5" min="4" style="1" width="20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8" t="s">
        <v>540</v>
      </c>
      <c r="C2" s="18"/>
      <c r="D2" s="18"/>
      <c r="E2" s="18"/>
      <c r="F2" s="18"/>
    </row>
    <row r="3" customFormat="false" ht="21.75" hidden="false" customHeight="true" outlineLevel="0" collapsed="false">
      <c r="B3" s="97" t="s">
        <v>541</v>
      </c>
      <c r="C3" s="97"/>
      <c r="D3" s="97"/>
      <c r="E3" s="97"/>
      <c r="F3" s="97"/>
    </row>
    <row r="5" customFormat="false" ht="21.75" hidden="false" customHeight="true" outlineLevel="0" collapsed="false">
      <c r="B5" s="74" t="s">
        <v>542</v>
      </c>
      <c r="C5" s="74"/>
      <c r="D5" s="74"/>
      <c r="E5" s="74"/>
      <c r="F5" s="74"/>
    </row>
    <row r="6" customFormat="false" ht="19.5" hidden="false" customHeight="true" outlineLevel="0" collapsed="false">
      <c r="B6" s="75" t="s">
        <v>543</v>
      </c>
      <c r="C6" s="75" t="s">
        <v>544</v>
      </c>
      <c r="D6" s="75" t="s">
        <v>545</v>
      </c>
      <c r="E6" s="75" t="s">
        <v>546</v>
      </c>
      <c r="F6" s="75" t="s">
        <v>547</v>
      </c>
    </row>
    <row r="7" customFormat="false" ht="19.5" hidden="false" customHeight="true" outlineLevel="0" collapsed="false">
      <c r="B7" s="146" t="s">
        <v>548</v>
      </c>
      <c r="C7" s="147" t="s">
        <v>549</v>
      </c>
      <c r="D7" s="148" t="n">
        <f aca="false">14</f>
        <v>14</v>
      </c>
      <c r="E7" s="149" t="s">
        <v>550</v>
      </c>
      <c r="F7" s="150" t="s">
        <v>551</v>
      </c>
    </row>
    <row r="8" customFormat="false" ht="19.5" hidden="false" customHeight="true" outlineLevel="0" collapsed="false">
      <c r="B8" s="151" t="s">
        <v>552</v>
      </c>
      <c r="C8" s="152" t="s">
        <v>553</v>
      </c>
      <c r="D8" s="153" t="b">
        <f aca="false">ISNUMBER(MATCH("Cover",{"Cover","Income Statement"},0))</f>
        <v>1</v>
      </c>
      <c r="E8" s="149" t="s">
        <v>550</v>
      </c>
      <c r="F8" s="154" t="s">
        <v>554</v>
      </c>
    </row>
    <row r="9" customFormat="false" ht="19.5" hidden="false" customHeight="true" outlineLevel="0" collapsed="false">
      <c r="B9" s="146" t="s">
        <v>555</v>
      </c>
      <c r="C9" s="147" t="s">
        <v>556</v>
      </c>
      <c r="D9" s="148" t="s">
        <v>557</v>
      </c>
      <c r="E9" s="149" t="s">
        <v>550</v>
      </c>
      <c r="F9" s="150" t="s">
        <v>555</v>
      </c>
    </row>
    <row r="10" customFormat="false" ht="19.5" hidden="false" customHeight="true" outlineLevel="0" collapsed="false">
      <c r="B10" s="151" t="s">
        <v>87</v>
      </c>
      <c r="C10" s="152" t="s">
        <v>556</v>
      </c>
      <c r="D10" s="155" t="s">
        <v>557</v>
      </c>
      <c r="E10" s="149" t="s">
        <v>550</v>
      </c>
      <c r="F10" s="154" t="s">
        <v>87</v>
      </c>
    </row>
    <row r="11" customFormat="false" ht="19.5" hidden="false" customHeight="true" outlineLevel="0" collapsed="false">
      <c r="B11" s="146" t="s">
        <v>558</v>
      </c>
      <c r="C11" s="147" t="s">
        <v>556</v>
      </c>
      <c r="D11" s="148" t="s">
        <v>557</v>
      </c>
      <c r="E11" s="149" t="s">
        <v>550</v>
      </c>
      <c r="F11" s="150" t="s">
        <v>558</v>
      </c>
    </row>
    <row r="12" customFormat="false" ht="19.5" hidden="false" customHeight="true" outlineLevel="0" collapsed="false">
      <c r="B12" s="151" t="s">
        <v>559</v>
      </c>
      <c r="C12" s="152" t="s">
        <v>556</v>
      </c>
      <c r="D12" s="155" t="s">
        <v>557</v>
      </c>
      <c r="E12" s="149" t="s">
        <v>550</v>
      </c>
      <c r="F12" s="154" t="s">
        <v>559</v>
      </c>
    </row>
    <row r="13" customFormat="false" ht="19.5" hidden="false" customHeight="true" outlineLevel="0" collapsed="false">
      <c r="B13" s="146" t="s">
        <v>560</v>
      </c>
      <c r="C13" s="147" t="s">
        <v>556</v>
      </c>
      <c r="D13" s="148" t="s">
        <v>557</v>
      </c>
      <c r="E13" s="149" t="s">
        <v>550</v>
      </c>
      <c r="F13" s="150" t="s">
        <v>560</v>
      </c>
    </row>
    <row r="14" customFormat="false" ht="19.5" hidden="false" customHeight="true" outlineLevel="0" collapsed="false">
      <c r="B14" s="151" t="s">
        <v>197</v>
      </c>
      <c r="C14" s="152" t="s">
        <v>556</v>
      </c>
      <c r="D14" s="155" t="s">
        <v>557</v>
      </c>
      <c r="E14" s="149" t="s">
        <v>550</v>
      </c>
      <c r="F14" s="154" t="s">
        <v>197</v>
      </c>
    </row>
    <row r="15" customFormat="false" ht="19.5" hidden="false" customHeight="true" outlineLevel="0" collapsed="false">
      <c r="B15" s="146" t="s">
        <v>561</v>
      </c>
      <c r="C15" s="147" t="s">
        <v>556</v>
      </c>
      <c r="D15" s="148" t="s">
        <v>557</v>
      </c>
      <c r="E15" s="149" t="s">
        <v>550</v>
      </c>
      <c r="F15" s="150" t="s">
        <v>561</v>
      </c>
    </row>
    <row r="16" customFormat="false" ht="19.5" hidden="false" customHeight="true" outlineLevel="0" collapsed="false">
      <c r="B16" s="151" t="s">
        <v>36</v>
      </c>
      <c r="C16" s="152" t="s">
        <v>556</v>
      </c>
      <c r="D16" s="155" t="s">
        <v>557</v>
      </c>
      <c r="E16" s="149" t="s">
        <v>550</v>
      </c>
      <c r="F16" s="154" t="s">
        <v>36</v>
      </c>
    </row>
    <row r="17" customFormat="false" ht="19.5" hidden="false" customHeight="true" outlineLevel="0" collapsed="false">
      <c r="B17" s="146" t="s">
        <v>35</v>
      </c>
      <c r="C17" s="147" t="s">
        <v>556</v>
      </c>
      <c r="D17" s="148" t="s">
        <v>557</v>
      </c>
      <c r="E17" s="149" t="s">
        <v>550</v>
      </c>
      <c r="F17" s="150" t="s">
        <v>35</v>
      </c>
    </row>
    <row r="18" customFormat="false" ht="19.5" hidden="false" customHeight="true" outlineLevel="0" collapsed="false">
      <c r="B18" s="151" t="s">
        <v>37</v>
      </c>
      <c r="C18" s="152" t="s">
        <v>556</v>
      </c>
      <c r="D18" s="155" t="s">
        <v>557</v>
      </c>
      <c r="E18" s="149" t="s">
        <v>550</v>
      </c>
      <c r="F18" s="154" t="s">
        <v>37</v>
      </c>
    </row>
    <row r="19" customFormat="false" ht="19.5" hidden="false" customHeight="true" outlineLevel="0" collapsed="false">
      <c r="B19" s="146" t="s">
        <v>562</v>
      </c>
      <c r="C19" s="147" t="s">
        <v>556</v>
      </c>
      <c r="D19" s="148" t="s">
        <v>557</v>
      </c>
      <c r="E19" s="149" t="s">
        <v>550</v>
      </c>
      <c r="F19" s="150" t="s">
        <v>562</v>
      </c>
    </row>
    <row r="20" customFormat="false" ht="19.5" hidden="false" customHeight="true" outlineLevel="0" collapsed="false">
      <c r="B20" s="151" t="s">
        <v>563</v>
      </c>
      <c r="C20" s="152" t="s">
        <v>556</v>
      </c>
      <c r="D20" s="155" t="s">
        <v>557</v>
      </c>
      <c r="E20" s="149" t="s">
        <v>550</v>
      </c>
      <c r="F20" s="154" t="s">
        <v>563</v>
      </c>
    </row>
    <row r="21" customFormat="false" ht="19.5" hidden="false" customHeight="true" outlineLevel="0" collapsed="false">
      <c r="B21" s="146" t="s">
        <v>564</v>
      </c>
      <c r="C21" s="147" t="s">
        <v>556</v>
      </c>
      <c r="D21" s="148" t="s">
        <v>557</v>
      </c>
      <c r="E21" s="149" t="s">
        <v>550</v>
      </c>
      <c r="F21" s="150" t="s">
        <v>564</v>
      </c>
    </row>
    <row r="23" customFormat="false" ht="21.75" hidden="false" customHeight="true" outlineLevel="0" collapsed="false">
      <c r="B23" s="74" t="s">
        <v>565</v>
      </c>
      <c r="C23" s="74"/>
      <c r="D23" s="74"/>
      <c r="E23" s="74"/>
      <c r="F23" s="74"/>
    </row>
    <row r="24" customFormat="false" ht="19.5" hidden="false" customHeight="true" outlineLevel="0" collapsed="false">
      <c r="B24" s="75" t="s">
        <v>543</v>
      </c>
      <c r="C24" s="75" t="s">
        <v>544</v>
      </c>
      <c r="D24" s="75" t="s">
        <v>566</v>
      </c>
      <c r="E24" s="75" t="s">
        <v>546</v>
      </c>
      <c r="F24" s="75" t="s">
        <v>547</v>
      </c>
    </row>
    <row r="25" customFormat="false" ht="19.5" hidden="false" customHeight="true" outlineLevel="0" collapsed="false">
      <c r="B25" s="146" t="s">
        <v>567</v>
      </c>
      <c r="C25" s="147" t="s">
        <v>568</v>
      </c>
      <c r="D25" s="156" t="n">
        <f aca="false">'Income Statement'!H4</f>
        <v>51997</v>
      </c>
      <c r="E25" s="149" t="s">
        <v>550</v>
      </c>
      <c r="F25" s="150" t="s">
        <v>555</v>
      </c>
    </row>
    <row r="26" customFormat="false" ht="19.5" hidden="false" customHeight="true" outlineLevel="0" collapsed="false">
      <c r="B26" s="151" t="s">
        <v>569</v>
      </c>
      <c r="C26" s="152" t="s">
        <v>570</v>
      </c>
      <c r="D26" s="157" t="n">
        <f aca="false">'Income Statement'!H16</f>
        <v>5573</v>
      </c>
      <c r="E26" s="149" t="s">
        <v>550</v>
      </c>
      <c r="F26" s="154" t="s">
        <v>555</v>
      </c>
    </row>
    <row r="27" customFormat="false" ht="19.5" hidden="false" customHeight="true" outlineLevel="0" collapsed="false">
      <c r="B27" s="146" t="s">
        <v>571</v>
      </c>
      <c r="C27" s="147" t="s">
        <v>572</v>
      </c>
      <c r="D27" s="156" t="n">
        <f aca="false">'Income Statement'!H7</f>
        <v>15523</v>
      </c>
      <c r="E27" s="149" t="s">
        <v>550</v>
      </c>
      <c r="F27" s="150" t="s">
        <v>555</v>
      </c>
    </row>
    <row r="28" customFormat="false" ht="19.5" hidden="false" customHeight="true" outlineLevel="0" collapsed="false">
      <c r="B28" s="151" t="s">
        <v>573</v>
      </c>
      <c r="C28" s="152" t="s">
        <v>574</v>
      </c>
      <c r="D28" s="157" t="str">
        <f aca="false">'Balance Sheet'!C48</f>
        <v>BALANCED ✓</v>
      </c>
      <c r="E28" s="149" t="s">
        <v>550</v>
      </c>
      <c r="F28" s="154" t="s">
        <v>87</v>
      </c>
    </row>
    <row r="29" customFormat="false" ht="19.5" hidden="false" customHeight="true" outlineLevel="0" collapsed="false">
      <c r="B29" s="146" t="s">
        <v>575</v>
      </c>
      <c r="C29" s="147" t="s">
        <v>576</v>
      </c>
      <c r="D29" s="156" t="n">
        <f aca="false">'Cash Flow'!E22</f>
        <v>0</v>
      </c>
      <c r="E29" s="149" t="s">
        <v>550</v>
      </c>
      <c r="F29" s="150" t="s">
        <v>558</v>
      </c>
    </row>
    <row r="30" customFormat="false" ht="19.5" hidden="false" customHeight="true" outlineLevel="0" collapsed="false">
      <c r="B30" s="151" t="s">
        <v>577</v>
      </c>
      <c r="C30" s="152" t="s">
        <v>578</v>
      </c>
      <c r="D30" s="158" t="n">
        <f aca="false">ROIC!C21</f>
        <v>0.116782896547897</v>
      </c>
      <c r="E30" s="149" t="s">
        <v>550</v>
      </c>
      <c r="F30" s="154" t="s">
        <v>560</v>
      </c>
    </row>
    <row r="31" customFormat="false" ht="19.5" hidden="false" customHeight="true" outlineLevel="0" collapsed="false">
      <c r="B31" s="146" t="s">
        <v>579</v>
      </c>
      <c r="C31" s="147" t="s">
        <v>576</v>
      </c>
      <c r="D31" s="156" t="n">
        <f aca="false">NOPAT!H21</f>
        <v>4402.67</v>
      </c>
      <c r="E31" s="149" t="s">
        <v>550</v>
      </c>
      <c r="F31" s="150" t="s">
        <v>197</v>
      </c>
    </row>
    <row r="32" customFormat="false" ht="19.5" hidden="false" customHeight="true" outlineLevel="0" collapsed="false">
      <c r="B32" s="151" t="s">
        <v>580</v>
      </c>
      <c r="C32" s="152" t="s">
        <v>576</v>
      </c>
      <c r="D32" s="157" t="n">
        <f aca="false">NOPAT!J30</f>
        <v>4395.30641</v>
      </c>
      <c r="E32" s="149" t="s">
        <v>550</v>
      </c>
      <c r="F32" s="154" t="s">
        <v>197</v>
      </c>
    </row>
    <row r="33" customFormat="false" ht="19.5" hidden="false" customHeight="true" outlineLevel="0" collapsed="false">
      <c r="B33" s="146" t="s">
        <v>581</v>
      </c>
      <c r="C33" s="147" t="s">
        <v>582</v>
      </c>
      <c r="D33" s="159" t="s">
        <v>583</v>
      </c>
      <c r="E33" s="149" t="s">
        <v>550</v>
      </c>
      <c r="F33" s="150" t="s">
        <v>197</v>
      </c>
    </row>
    <row r="34" customFormat="false" ht="19.5" hidden="false" customHeight="true" outlineLevel="0" collapsed="false">
      <c r="B34" s="151" t="s">
        <v>584</v>
      </c>
      <c r="C34" s="152" t="s">
        <v>585</v>
      </c>
      <c r="D34" s="157" t="n">
        <f aca="false">EPV!C7</f>
        <v>4395.30641</v>
      </c>
      <c r="E34" s="149" t="s">
        <v>550</v>
      </c>
      <c r="F34" s="154" t="s">
        <v>35</v>
      </c>
    </row>
    <row r="35" customFormat="false" ht="19.5" hidden="false" customHeight="true" outlineLevel="0" collapsed="false">
      <c r="B35" s="146" t="s">
        <v>586</v>
      </c>
      <c r="C35" s="147" t="s">
        <v>576</v>
      </c>
      <c r="D35" s="156" t="n">
        <f aca="false">EPV!C20</f>
        <v>46266.3832631579</v>
      </c>
      <c r="E35" s="149" t="s">
        <v>550</v>
      </c>
      <c r="F35" s="150" t="s">
        <v>35</v>
      </c>
    </row>
    <row r="36" customFormat="false" ht="19.5" hidden="false" customHeight="true" outlineLevel="0" collapsed="false">
      <c r="B36" s="151" t="s">
        <v>587</v>
      </c>
      <c r="C36" s="152" t="s">
        <v>576</v>
      </c>
      <c r="D36" s="157" t="n">
        <f aca="false">EPV!C26</f>
        <v>54966.3832631579</v>
      </c>
      <c r="E36" s="149" t="s">
        <v>550</v>
      </c>
      <c r="F36" s="154" t="s">
        <v>35</v>
      </c>
    </row>
    <row r="37" customFormat="false" ht="19.5" hidden="false" customHeight="true" outlineLevel="0" collapsed="false">
      <c r="B37" s="146" t="s">
        <v>588</v>
      </c>
      <c r="C37" s="147" t="s">
        <v>589</v>
      </c>
      <c r="D37" s="160" t="n">
        <f aca="false">EPV!C30</f>
        <v>25.8422112191622</v>
      </c>
      <c r="E37" s="149" t="s">
        <v>550</v>
      </c>
      <c r="F37" s="150" t="s">
        <v>35</v>
      </c>
    </row>
    <row r="38" customFormat="false" ht="19.5" hidden="false" customHeight="true" outlineLevel="0" collapsed="false">
      <c r="B38" s="151" t="s">
        <v>590</v>
      </c>
      <c r="C38" s="152" t="s">
        <v>576</v>
      </c>
      <c r="D38" s="157" t="n">
        <f aca="false">'Reproduction Value'!D39</f>
        <v>47338.95</v>
      </c>
      <c r="E38" s="149" t="s">
        <v>550</v>
      </c>
      <c r="F38" s="154" t="s">
        <v>591</v>
      </c>
    </row>
    <row r="39" customFormat="false" ht="19.5" hidden="false" customHeight="true" outlineLevel="0" collapsed="false">
      <c r="B39" s="146" t="s">
        <v>592</v>
      </c>
      <c r="C39" s="147" t="s">
        <v>593</v>
      </c>
      <c r="D39" s="160" t="n">
        <f aca="false">'Reproduction Value'!D41</f>
        <v>22.2562059238364</v>
      </c>
      <c r="E39" s="149" t="s">
        <v>550</v>
      </c>
      <c r="F39" s="150" t="s">
        <v>591</v>
      </c>
    </row>
    <row r="40" customFormat="false" ht="19.5" hidden="false" customHeight="true" outlineLevel="0" collapsed="false">
      <c r="B40" s="151" t="s">
        <v>594</v>
      </c>
      <c r="C40" s="152" t="s">
        <v>595</v>
      </c>
      <c r="D40" s="161" t="n">
        <f aca="false">'Franchise Value'!C11</f>
        <v>1.16112383699169</v>
      </c>
      <c r="E40" s="149" t="s">
        <v>550</v>
      </c>
      <c r="F40" s="154" t="s">
        <v>37</v>
      </c>
    </row>
    <row r="41" customFormat="false" ht="19.5" hidden="false" customHeight="true" outlineLevel="0" collapsed="false">
      <c r="B41" s="146" t="s">
        <v>596</v>
      </c>
      <c r="C41" s="147" t="s">
        <v>597</v>
      </c>
      <c r="D41" s="162" t="n">
        <f aca="false">'Implied IRR'!D28</f>
        <v>-0.0714661774943024</v>
      </c>
      <c r="E41" s="149" t="s">
        <v>550</v>
      </c>
      <c r="F41" s="150" t="s">
        <v>562</v>
      </c>
    </row>
    <row r="42" customFormat="false" ht="19.5" hidden="false" customHeight="true" outlineLevel="0" collapsed="false">
      <c r="B42" s="151" t="s">
        <v>598</v>
      </c>
      <c r="C42" s="152" t="s">
        <v>599</v>
      </c>
      <c r="D42" s="158" t="n">
        <f aca="false">'Implied IRR'!C28</f>
        <v>-0.137049827048207</v>
      </c>
      <c r="E42" s="149" t="s">
        <v>550</v>
      </c>
      <c r="F42" s="154" t="s">
        <v>562</v>
      </c>
    </row>
    <row r="43" customFormat="false" ht="19.5" hidden="false" customHeight="true" outlineLevel="0" collapsed="false">
      <c r="B43" s="146" t="s">
        <v>600</v>
      </c>
      <c r="C43" s="147" t="s">
        <v>601</v>
      </c>
      <c r="D43" s="162" t="n">
        <f aca="false">'Implied IRR'!E28</f>
        <v>-0.00797350297708166</v>
      </c>
      <c r="E43" s="149" t="s">
        <v>550</v>
      </c>
      <c r="F43" s="150" t="s">
        <v>562</v>
      </c>
    </row>
    <row r="44" customFormat="false" ht="19.5" hidden="false" customHeight="true" outlineLevel="0" collapsed="false">
      <c r="B44" s="151" t="s">
        <v>602</v>
      </c>
      <c r="C44" s="152" t="s">
        <v>603</v>
      </c>
      <c r="D44" s="163" t="s">
        <v>604</v>
      </c>
      <c r="E44" s="149" t="s">
        <v>550</v>
      </c>
      <c r="F44" s="154" t="s">
        <v>561</v>
      </c>
    </row>
    <row r="45" customFormat="false" ht="19.5" hidden="false" customHeight="true" outlineLevel="0" collapsed="false">
      <c r="B45" s="146" t="s">
        <v>605</v>
      </c>
      <c r="C45" s="147" t="s">
        <v>606</v>
      </c>
      <c r="D45" s="159" t="s">
        <v>607</v>
      </c>
      <c r="E45" s="149" t="s">
        <v>550</v>
      </c>
      <c r="F45" s="150" t="s">
        <v>561</v>
      </c>
    </row>
    <row r="47" customFormat="false" ht="21.75" hidden="false" customHeight="true" outlineLevel="0" collapsed="false">
      <c r="B47" s="74" t="s">
        <v>608</v>
      </c>
      <c r="C47" s="74"/>
      <c r="D47" s="74"/>
      <c r="E47" s="74"/>
      <c r="F47" s="74"/>
    </row>
    <row r="48" customFormat="false" ht="19.5" hidden="false" customHeight="true" outlineLevel="0" collapsed="false">
      <c r="B48" s="75" t="s">
        <v>191</v>
      </c>
      <c r="C48" s="75" t="s">
        <v>544</v>
      </c>
      <c r="D48" s="75" t="s">
        <v>513</v>
      </c>
      <c r="E48" s="75" t="s">
        <v>546</v>
      </c>
      <c r="F48" s="75" t="s">
        <v>609</v>
      </c>
    </row>
    <row r="49" customFormat="false" ht="19.5" hidden="false" customHeight="true" outlineLevel="0" collapsed="false">
      <c r="B49" s="146" t="s">
        <v>368</v>
      </c>
      <c r="C49" s="147" t="s">
        <v>610</v>
      </c>
      <c r="D49" s="162" t="n">
        <f aca="false">EPV!C12</f>
        <v>0.043</v>
      </c>
      <c r="E49" s="149" t="s">
        <v>550</v>
      </c>
      <c r="F49" s="150" t="s">
        <v>516</v>
      </c>
    </row>
    <row r="50" customFormat="false" ht="19.5" hidden="false" customHeight="true" outlineLevel="0" collapsed="false">
      <c r="B50" s="151" t="s">
        <v>370</v>
      </c>
      <c r="C50" s="152" t="s">
        <v>611</v>
      </c>
      <c r="D50" s="158" t="n">
        <f aca="false">EPV!C13</f>
        <v>0.055</v>
      </c>
      <c r="E50" s="149" t="s">
        <v>550</v>
      </c>
      <c r="F50" s="154" t="s">
        <v>516</v>
      </c>
    </row>
    <row r="51" customFormat="false" ht="19.5" hidden="false" customHeight="true" outlineLevel="0" collapsed="false">
      <c r="B51" s="146" t="s">
        <v>372</v>
      </c>
      <c r="C51" s="147" t="s">
        <v>612</v>
      </c>
      <c r="D51" s="164" t="n">
        <f aca="false">EPV!C14</f>
        <v>1.3</v>
      </c>
      <c r="E51" s="149" t="s">
        <v>550</v>
      </c>
      <c r="F51" s="150" t="s">
        <v>516</v>
      </c>
    </row>
    <row r="52" customFormat="false" ht="19.5" hidden="false" customHeight="true" outlineLevel="0" collapsed="false">
      <c r="B52" s="151" t="s">
        <v>613</v>
      </c>
      <c r="C52" s="152" t="s">
        <v>614</v>
      </c>
      <c r="D52" s="158" t="n">
        <f aca="false">EPV!C15</f>
        <v>0.1145</v>
      </c>
      <c r="E52" s="149" t="s">
        <v>550</v>
      </c>
      <c r="F52" s="154" t="s">
        <v>516</v>
      </c>
    </row>
    <row r="53" customFormat="false" ht="19.5" hidden="false" customHeight="true" outlineLevel="0" collapsed="false">
      <c r="B53" s="146" t="s">
        <v>376</v>
      </c>
      <c r="C53" s="147" t="s">
        <v>615</v>
      </c>
      <c r="D53" s="162" t="n">
        <f aca="false">EPV!C16</f>
        <v>0.05</v>
      </c>
      <c r="E53" s="149" t="s">
        <v>550</v>
      </c>
      <c r="F53" s="150" t="s">
        <v>516</v>
      </c>
    </row>
    <row r="54" customFormat="false" ht="19.5" hidden="false" customHeight="true" outlineLevel="0" collapsed="false">
      <c r="B54" s="151" t="s">
        <v>616</v>
      </c>
      <c r="C54" s="152" t="s">
        <v>501</v>
      </c>
      <c r="D54" s="158" t="n">
        <f aca="false">EPV!C17</f>
        <v>0.095</v>
      </c>
      <c r="E54" s="149" t="s">
        <v>550</v>
      </c>
      <c r="F54" s="154" t="s">
        <v>516</v>
      </c>
    </row>
    <row r="55" customFormat="false" ht="19.5" hidden="false" customHeight="true" outlineLevel="0" collapsed="false">
      <c r="B55" s="146" t="s">
        <v>617</v>
      </c>
      <c r="C55" s="147" t="s">
        <v>618</v>
      </c>
      <c r="D55" s="156" t="n">
        <f aca="false">ROIC!C24</f>
        <v>-0.0500307692307692</v>
      </c>
      <c r="E55" s="149" t="s">
        <v>550</v>
      </c>
      <c r="F55" s="150" t="s">
        <v>619</v>
      </c>
    </row>
    <row r="57" customFormat="false" ht="21.75" hidden="false" customHeight="true" outlineLevel="0" collapsed="false">
      <c r="B57" s="74" t="s">
        <v>620</v>
      </c>
      <c r="C57" s="74"/>
      <c r="D57" s="74"/>
      <c r="E57" s="74"/>
      <c r="F57" s="74"/>
    </row>
    <row r="58" customFormat="false" ht="19.5" hidden="false" customHeight="true" outlineLevel="0" collapsed="false">
      <c r="B58" s="75" t="s">
        <v>621</v>
      </c>
      <c r="C58" s="75" t="s">
        <v>544</v>
      </c>
      <c r="D58" s="75" t="s">
        <v>622</v>
      </c>
      <c r="E58" s="75" t="s">
        <v>546</v>
      </c>
      <c r="F58" s="75" t="s">
        <v>547</v>
      </c>
    </row>
    <row r="59" customFormat="false" ht="19.5" hidden="false" customHeight="true" outlineLevel="0" collapsed="false">
      <c r="B59" s="146" t="s">
        <v>623</v>
      </c>
      <c r="C59" s="147" t="s">
        <v>484</v>
      </c>
      <c r="D59" s="162" t="n">
        <f aca="false">NOPAT!F18</f>
        <v>0.21</v>
      </c>
      <c r="E59" s="149" t="s">
        <v>550</v>
      </c>
      <c r="F59" s="150" t="s">
        <v>197</v>
      </c>
    </row>
    <row r="60" customFormat="false" ht="19.5" hidden="false" customHeight="true" outlineLevel="0" collapsed="false">
      <c r="B60" s="151" t="s">
        <v>624</v>
      </c>
      <c r="C60" s="152" t="s">
        <v>484</v>
      </c>
      <c r="D60" s="158" t="n">
        <f aca="false">ROIC!C7</f>
        <v>0.21</v>
      </c>
      <c r="E60" s="149" t="s">
        <v>550</v>
      </c>
      <c r="F60" s="154" t="s">
        <v>560</v>
      </c>
    </row>
    <row r="61" customFormat="false" ht="19.5" hidden="false" customHeight="true" outlineLevel="0" collapsed="false">
      <c r="B61" s="146" t="s">
        <v>625</v>
      </c>
      <c r="C61" s="147" t="s">
        <v>501</v>
      </c>
      <c r="D61" s="162" t="n">
        <f aca="false">EPV!C17</f>
        <v>0.095</v>
      </c>
      <c r="E61" s="149" t="s">
        <v>550</v>
      </c>
      <c r="F61" s="150" t="s">
        <v>35</v>
      </c>
    </row>
    <row r="62" customFormat="false" ht="19.5" hidden="false" customHeight="true" outlineLevel="0" collapsed="false">
      <c r="B62" s="151" t="s">
        <v>626</v>
      </c>
      <c r="C62" s="152" t="s">
        <v>501</v>
      </c>
      <c r="D62" s="158" t="n">
        <f aca="false">'Franchise Value'!C13</f>
        <v>1.16112383699169</v>
      </c>
      <c r="E62" s="149" t="s">
        <v>550</v>
      </c>
      <c r="F62" s="154" t="s">
        <v>37</v>
      </c>
    </row>
    <row r="63" customFormat="false" ht="19.5" hidden="false" customHeight="true" outlineLevel="0" collapsed="false">
      <c r="B63" s="146" t="s">
        <v>627</v>
      </c>
      <c r="C63" s="147" t="s">
        <v>495</v>
      </c>
      <c r="D63" s="162" t="n">
        <f aca="false">'Franchise Value'!C12</f>
        <v>7627.4332631579</v>
      </c>
      <c r="E63" s="149" t="s">
        <v>550</v>
      </c>
      <c r="F63" s="150" t="s">
        <v>37</v>
      </c>
    </row>
    <row r="64" customFormat="false" ht="19.5" hidden="false" customHeight="true" outlineLevel="0" collapsed="false">
      <c r="B64" s="151" t="s">
        <v>628</v>
      </c>
      <c r="C64" s="152" t="s">
        <v>629</v>
      </c>
      <c r="D64" s="158" t="n">
        <f aca="false">'Implied IRR'!C29</f>
        <v>0.12</v>
      </c>
      <c r="E64" s="149" t="s">
        <v>550</v>
      </c>
      <c r="F64" s="154" t="s">
        <v>562</v>
      </c>
    </row>
    <row r="65" customFormat="false" ht="19.5" hidden="false" customHeight="true" outlineLevel="0" collapsed="false">
      <c r="B65" s="146" t="s">
        <v>630</v>
      </c>
      <c r="C65" s="147" t="s">
        <v>631</v>
      </c>
      <c r="D65" s="162" t="n">
        <f aca="false">'Franchise Value'!C19</f>
        <v>0.072</v>
      </c>
      <c r="E65" s="149" t="s">
        <v>550</v>
      </c>
      <c r="F65" s="150" t="s">
        <v>37</v>
      </c>
    </row>
    <row r="66" customFormat="false" ht="19.5" hidden="false" customHeight="true" outlineLevel="0" collapsed="false">
      <c r="B66" s="151" t="s">
        <v>632</v>
      </c>
      <c r="C66" s="152" t="s">
        <v>633</v>
      </c>
      <c r="D66" s="163" t="str">
        <f aca="false">"$4B (manual check)"</f>
        <v>$4B (manual check)</v>
      </c>
      <c r="E66" s="149" t="s">
        <v>550</v>
      </c>
      <c r="F66" s="154" t="s">
        <v>563</v>
      </c>
    </row>
    <row r="67" customFormat="false" ht="19.5" hidden="false" customHeight="true" outlineLevel="0" collapsed="false">
      <c r="B67" s="146" t="s">
        <v>634</v>
      </c>
      <c r="C67" s="147" t="s">
        <v>635</v>
      </c>
      <c r="D67" s="156" t="n">
        <f aca="false">'Implied IRR'!D11</f>
        <v>4</v>
      </c>
      <c r="E67" s="149" t="s">
        <v>550</v>
      </c>
      <c r="F67" s="150" t="s">
        <v>562</v>
      </c>
    </row>
    <row r="70" customFormat="false" ht="21.75" hidden="false" customHeight="true" outlineLevel="0" collapsed="false">
      <c r="B70" s="165" t="s">
        <v>636</v>
      </c>
      <c r="C70" s="165"/>
      <c r="D70" s="165"/>
      <c r="E70" s="165"/>
      <c r="F70" s="165"/>
    </row>
  </sheetData>
  <mergeCells count="7">
    <mergeCell ref="B2:F2"/>
    <mergeCell ref="B3:F3"/>
    <mergeCell ref="B5:F5"/>
    <mergeCell ref="B23:F23"/>
    <mergeCell ref="B47:F47"/>
    <mergeCell ref="B57:F57"/>
    <mergeCell ref="B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2026-05-30T09:06:00Z</dcterms:created>
  <dc:creator>openpyxl</dc:creator>
  <dc:description/>
  <dc:language>en-US</dc:language>
  <cp:lastModifiedBy/>
  <dcterms:modified xsi:type="dcterms:W3CDTF">2026-05-30T09:22:27Z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