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. Overview" sheetId="1" state="visible" r:id="rId3"/>
    <sheet name="2. IS" sheetId="2" state="visible" r:id="rId4"/>
    <sheet name="3. BS" sheetId="3" state="visible" r:id="rId5"/>
    <sheet name="4. CF" sheetId="4" state="visible" r:id="rId6"/>
    <sheet name="5. Health" sheetId="5" state="visible" r:id="rId7"/>
    <sheet name="6. S&amp;M Cap" sheetId="6" state="visible" r:id="rId8"/>
    <sheet name="7. R&amp;D Cap" sheetId="7" state="visible" r:id="rId9"/>
    <sheet name="8. RV" sheetId="8" state="visible" r:id="rId10"/>
    <sheet name="9. NOPAT" sheetId="9" state="visible" r:id="rId11"/>
    <sheet name="10. EPV" sheetId="10" state="visible" r:id="rId12"/>
    <sheet name="11. ROIC" sheetId="11" state="visible" r:id="rId13"/>
    <sheet name="12. Implied IRR" sheetId="12" state="visible" r:id="rId14"/>
    <sheet name="13. Summary" sheetId="13" state="visible" r:id="rId15"/>
    <sheet name="14. Audit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DCE Holdings</author>
  </authors>
  <commentList>
    <comment ref="H8" authorId="0">
      <text>
        <r>
          <rPr>
            <sz val="10"/>
            <rFont val="Arial"/>
            <family val="2"/>
          </rPr>
          <t xml:space="preserve">Tendency flag: Short-term Investments
Período anterior: 64,323
Período nuevo:    46,123
Cambio: -28.3%
Requiere validación del CIO.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-80</xdr:colOff>
                <xdr:row>3</xdr:row>
                <xdr:rowOff>21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DCE Holdings</author>
  </authors>
  <commentList>
    <comment ref="H13" authorId="0">
      <text>
        <r>
          <rPr>
            <sz val="10"/>
            <rFont val="Arial"/>
            <family val="2"/>
          </rPr>
          <t xml:space="preserve">Tendency flag: CapEx
Período anterior: -64,551
Período nuevo:    -97,225
Cambio: -50.6%
Requiere validación del CIO.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-80</xdr:colOff>
                <xdr:row>3</xdr:row>
                <xdr:rowOff>21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Tendency flag: Buybacks
Período anterior: -17,700
Período nuevo:    -22,238
Cambio: -25.6%
Requiere validación del CIO.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-80</xdr:colOff>
                <xdr:row>3</xdr:row>
                <xdr:rowOff>21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<sst xmlns="http://schemas.openxmlformats.org/spreadsheetml/2006/main" count="990" uniqueCount="761">
  <si>
    <t xml:space="preserve">COLUMBIA VALUATION MODEL — Microsoft Corporation (MSFT) | DCE Holdings</t>
  </si>
  <si>
    <t xml:space="preserve">Fecha de Valoración: 05-May-2026 | Precio: $414.44</t>
  </si>
  <si>
    <t xml:space="preserve">PERFIL DE LA EMPRESA</t>
  </si>
  <si>
    <t xml:space="preserve">Nombre</t>
  </si>
  <si>
    <t xml:space="preserve">Microsoft Corporation</t>
  </si>
  <si>
    <t xml:space="preserve">Ticker / Bolsa</t>
  </si>
  <si>
    <t xml:space="preserve">MSFT / NASDAQ</t>
  </si>
  <si>
    <t xml:space="preserve">Sector (GICS)</t>
  </si>
  <si>
    <t xml:space="preserve">Technology — Systems Software</t>
  </si>
  <si>
    <t xml:space="preserve">Modelo de Negocio</t>
  </si>
  <si>
    <t xml:space="preserve">Cloud (Azure), Productivity (M365/Office), Gaming (Xbox/Activision), AI/Copilot</t>
  </si>
  <si>
    <t xml:space="preserve">Fiscal Year End</t>
  </si>
  <si>
    <t xml:space="preserve">June 30</t>
  </si>
  <si>
    <t xml:space="preserve">CEO</t>
  </si>
  <si>
    <t xml:space="preserve">Satya Nadella</t>
  </si>
  <si>
    <t xml:space="preserve">Sede</t>
  </si>
  <si>
    <t xml:space="preserve">Redmond, WA, USA</t>
  </si>
  <si>
    <t xml:space="preserve">Empleados</t>
  </si>
  <si>
    <t xml:space="preserve">~228,000 (FY2025)</t>
  </si>
  <si>
    <t xml:space="preserve">Fecha de Valoración</t>
  </si>
  <si>
    <t xml:space="preserve">05-May-2026</t>
  </si>
  <si>
    <t xml:space="preserve">DATOS DE MERCADO</t>
  </si>
  <si>
    <t xml:space="preserve">Precio Actual</t>
  </si>
  <si>
    <t xml:space="preserve">USD — stockanalysis.com, 05-May-2026</t>
  </si>
  <si>
    <t xml:space="preserve">Acciones Diluidas (M)</t>
  </si>
  <si>
    <t xml:space="preserve">Diluted shares FY2025 10-K</t>
  </si>
  <si>
    <t xml:space="preserve">Market Cap ($M)</t>
  </si>
  <si>
    <t xml:space="preserve">Total Deuda ($M)</t>
  </si>
  <si>
    <t xml:space="preserve">LTD $40,152M + CLTD $2,999M | FY2025 BS</t>
  </si>
  <si>
    <t xml:space="preserve">Lease Liabilities ($M)</t>
  </si>
  <si>
    <t xml:space="preserve">LT Operating Lease | FY2025 BS</t>
  </si>
  <si>
    <t xml:space="preserve">Cash + ST Investments ($M)</t>
  </si>
  <si>
    <t xml:space="preserve">Cash $30.2B + STI $64.3B | FY2025 BS</t>
  </si>
  <si>
    <t xml:space="preserve">Enterprise Value ($M)</t>
  </si>
  <si>
    <t xml:space="preserve">MÉTRICAS FINANCIERAS CLAVE (FY2025)</t>
  </si>
  <si>
    <t xml:space="preserve">Net Revenue ($M)</t>
  </si>
  <si>
    <t xml:space="preserve">Operating Income ($M)</t>
  </si>
  <si>
    <t xml:space="preserve">Operating Margin</t>
  </si>
  <si>
    <t xml:space="preserve">EBITDA ($M)</t>
  </si>
  <si>
    <t xml:space="preserve">Net Income ($M)</t>
  </si>
  <si>
    <t xml:space="preserve">EPS Diluted ($)</t>
  </si>
  <si>
    <t xml:space="preserve">FCF ($M)</t>
  </si>
  <si>
    <t xml:space="preserve">FCF Margin</t>
  </si>
  <si>
    <t xml:space="preserve">D&amp;A ($M)</t>
  </si>
  <si>
    <t xml:space="preserve">SBC ($M)</t>
  </si>
  <si>
    <t xml:space="preserve">CapEx ($M)</t>
  </si>
  <si>
    <t xml:space="preserve">MÚLTIPLOS DE VALORACIÓN (FY2025)</t>
  </si>
  <si>
    <t xml:space="preserve">P/E (TTM)</t>
  </si>
  <si>
    <t xml:space="preserve">EV/EBITDA</t>
  </si>
  <si>
    <t xml:space="preserve">EV/Revenue</t>
  </si>
  <si>
    <t xml:space="preserve">P/FCF</t>
  </si>
  <si>
    <t xml:space="preserve">Price/Book</t>
  </si>
  <si>
    <t xml:space="preserve">Dividend Yield</t>
  </si>
  <si>
    <t xml:space="preserve">Revenue Growth YoY</t>
  </si>
  <si>
    <t xml:space="preserve">EBITDA Growth YoY</t>
  </si>
  <si>
    <t xml:space="preserve">FCF Growth YoY</t>
  </si>
  <si>
    <t xml:space="preserve">ÍNDICE DE HOJAS</t>
  </si>
  <si>
    <t xml:space="preserve">1. Overview</t>
  </si>
  <si>
    <t xml:space="preserve">Company profile, market data, multiples</t>
  </si>
  <si>
    <t xml:space="preserve">2. IS</t>
  </si>
  <si>
    <t xml:space="preserve">Income Statement FY2020–FY2025 + metrics</t>
  </si>
  <si>
    <t xml:space="preserve">3. BS</t>
  </si>
  <si>
    <t xml:space="preserve">Balance Sheet FY2020–FY2025</t>
  </si>
  <si>
    <t xml:space="preserve">4. CF</t>
  </si>
  <si>
    <t xml:space="preserve">Cash Flow Statement FY2020–FY2025</t>
  </si>
  <si>
    <t xml:space="preserve">5. Health</t>
  </si>
  <si>
    <t xml:space="preserve">Financial health &amp; KPI checks</t>
  </si>
  <si>
    <t xml:space="preserve">6. S&amp;M Cap</t>
  </si>
  <si>
    <t xml:space="preserve">Sales &amp; Marketing capitalization (5yr useful life)</t>
  </si>
  <si>
    <t xml:space="preserve">7. R&amp;D Cap</t>
  </si>
  <si>
    <t xml:space="preserve">R&amp;D capitalization (6yr useful life)</t>
  </si>
  <si>
    <t xml:space="preserve">8. RV</t>
  </si>
  <si>
    <t xml:space="preserve">Reproduction Value — asset replication cost</t>
  </si>
  <si>
    <t xml:space="preserve">9. NOPAT</t>
  </si>
  <si>
    <t xml:space="preserve">Adjusted NOPAT &amp; normalization</t>
  </si>
  <si>
    <t xml:space="preserve">10. EPV</t>
  </si>
  <si>
    <t xml:space="preserve">Earnings Power Value (zero-growth perpetuity)</t>
  </si>
  <si>
    <t xml:space="preserve">11. ROIC</t>
  </si>
  <si>
    <t xml:space="preserve">Return on Invested Capital (3 sections)</t>
  </si>
  <si>
    <t xml:space="preserve">12. Implied IRR</t>
  </si>
  <si>
    <t xml:space="preserve">Enterprise return framework (7 sections)</t>
  </si>
  <si>
    <t xml:space="preserve">13. Summary</t>
  </si>
  <si>
    <t xml:space="preserve">Columbia valuation ladder + decision points</t>
  </si>
  <si>
    <t xml:space="preserve">14. Audit</t>
  </si>
  <si>
    <t xml:space="preserve">Formula audit &amp; cross-reference checks</t>
  </si>
  <si>
    <t xml:space="preserve">Source: Microsoft 10-K FY2020-FY2025 (SEC EDGAR) | DCE Holdings | 05-May-2026</t>
  </si>
  <si>
    <t xml:space="preserve">INCOME STATEMENT — Microsoft Corporation (MSFT)</t>
  </si>
  <si>
    <t xml:space="preserve">Source: Microsoft 10-K FY2020–FY2025 | All figures in $M | Fiscal Year ends June 30</t>
  </si>
  <si>
    <t xml:space="preserve">CONCEPTO ($M)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</si>
  <si>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</si>
  <si>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</si>
  <si>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</si>
  <si>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</si>
  <si>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</si>
  <si>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LTM_2026Q3</t>
  </si>
  <si>
    <t xml:space="preserve">Net 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</si>
  <si>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</si>
  <si>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</si>
  <si>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</si>
  <si>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</si>
  <si>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 and Marketing</t>
  </si>
  <si>
    <t xml:space="preserve">General and Administrative</t>
  </si>
  <si>
    <t xml:space="preserve">Total Operating Expenses</t>
  </si>
  <si>
    <t xml:space="preserve">Operating Income</t>
  </si>
  <si>
    <t xml:space="preserve">Interest Expense</t>
  </si>
  <si>
    <t xml:space="preserve">Other Income (Expense), Net</t>
  </si>
  <si>
    <t xml:space="preserve">Income Before Taxes</t>
  </si>
  <si>
    <t xml:space="preserve">Provision for Income Taxes</t>
  </si>
  <si>
    <t xml:space="preserve">Net Income</t>
  </si>
  <si>
    <t xml:space="preserve">MÉTRICAS DERIVADAS:</t>
  </si>
  <si>
    <t xml:space="preserve">Operating Margin %</t>
  </si>
  <si>
    <t xml:space="preserve">Net Margin %</t>
  </si>
  <si>
    <t xml:space="preserve">Effective Tax Rate</t>
  </si>
  <si>
    <t xml:space="preserve">DATOS SUPLEMENTARIOS:</t>
  </si>
  <si>
    <t xml:space="preserve">Diluted Shares (M)</t>
  </si>
  <si>
    <t xml:space="preserve">Stock-Based Compensation ($M)</t>
  </si>
  <si>
    <t xml:space="preserve">SBC / Revenue %</t>
  </si>
  <si>
    <t xml:space="preserve">BALANCE SHEET — Microsoft Corporation (MSFT)</t>
  </si>
  <si>
    <t xml:space="preserve">Source: Microsoft 10-K FY2020–FY2025 | All figures in $M</t>
  </si>
  <si>
    <t xml:space="preserve">ACTIVOS</t>
  </si>
  <si>
    <t xml:space="preserve">CURRENT ASSETS:</t>
  </si>
  <si>
    <t xml:space="preserve">Cash and Cash Equivalents</t>
  </si>
  <si>
    <t xml:space="preserve">Short-term Investments</t>
  </si>
  <si>
    <t xml:space="preserve">Accounts Receivable, net</t>
  </si>
  <si>
    <t xml:space="preserve">Inventories</t>
  </si>
  <si>
    <t xml:space="preserve">Other Current Assets</t>
  </si>
  <si>
    <t xml:space="preserve">Total Current Assets</t>
  </si>
  <si>
    <t xml:space="preserve">NON-CURRENT ASSETS:</t>
  </si>
  <si>
    <t xml:space="preserve">Property and Equipment, net</t>
  </si>
  <si>
    <t xml:space="preserve">Operating Lease Right-of-Use Assets</t>
  </si>
  <si>
    <t xml:space="preserve">Equity and Other Investments</t>
  </si>
  <si>
    <t xml:space="preserve">Goodwill</t>
  </si>
  <si>
    <t xml:space="preserve">Intangible Assets, net</t>
  </si>
  <si>
    <t xml:space="preserve">Other Long-term Assets</t>
  </si>
  <si>
    <t xml:space="preserve">Total Assets</t>
  </si>
  <si>
    <t xml:space="preserve">PASIVOS</t>
  </si>
  <si>
    <t xml:space="preserve">CURRENT LIABILITIES:</t>
  </si>
  <si>
    <t xml:space="preserve">Accounts Payable</t>
  </si>
  <si>
    <t xml:space="preserve">Current Portion of Long-term Debt</t>
  </si>
  <si>
    <t xml:space="preserve">Short-term Debt</t>
  </si>
  <si>
    <t xml:space="preserve">Accrued Compensation</t>
  </si>
  <si>
    <t xml:space="preserve">Short-term Income Taxes</t>
  </si>
  <si>
    <t xml:space="preserve">Short-term Unearned Revenue</t>
  </si>
  <si>
    <t xml:space="preserve">Other Current Liabilities</t>
  </si>
  <si>
    <t xml:space="preserve">Total Current Liabilities</t>
  </si>
  <si>
    <t xml:space="preserve">NON-CURRENT LIABILITIES:</t>
  </si>
  <si>
    <t xml:space="preserve">Long-term Debt</t>
  </si>
  <si>
    <t xml:space="preserve">Long-term Income Taxes</t>
  </si>
  <si>
    <t xml:space="preserve">Long-term Unearned Revenue</t>
  </si>
  <si>
    <t xml:space="preserve">Deferred Income Taxes (Liability)</t>
  </si>
  <si>
    <t xml:space="preserve">Operating Lease Liabilities (LT)</t>
  </si>
  <si>
    <t xml:space="preserve">Other Long-term Liabilities</t>
  </si>
  <si>
    <t xml:space="preserve">Total Liabilities</t>
  </si>
  <si>
    <t xml:space="preserve">PATRIMONIO</t>
  </si>
  <si>
    <t xml:space="preserve">Total Stockholders' Equity</t>
  </si>
  <si>
    <t xml:space="preserve">Total Liabilities + Equity (check = Total Assets)</t>
  </si>
  <si>
    <t xml:space="preserve">Cash + Short-term Investments</t>
  </si>
  <si>
    <t xml:space="preserve">Total Debt (ST + Current LTD + LTD)</t>
  </si>
  <si>
    <t xml:space="preserve">Net Debt (Debt + Leases − Cash)</t>
  </si>
  <si>
    <t xml:space="preserve">Book Value per Share ($)</t>
  </si>
  <si>
    <t xml:space="preserve">CASH FLOW STATEMENT — Microsoft Corporation (MSFT)</t>
  </si>
  <si>
    <t xml:space="preserve">OPERACIONES</t>
  </si>
  <si>
    <t xml:space="preserve">Depreciation and Amortization</t>
  </si>
  <si>
    <t xml:space="preserve">Stock-Based Compensation</t>
  </si>
  <si>
    <t xml:space="preserve">Changes in Operating Assets and Liabilities</t>
  </si>
  <si>
    <t xml:space="preserve">Other Operating Activities</t>
  </si>
  <si>
    <t xml:space="preserve">Cash from Operations</t>
  </si>
  <si>
    <t xml:space="preserve">INVERSIÓN</t>
  </si>
  <si>
    <t xml:space="preserve">Purchases of Property and Equipment</t>
  </si>
  <si>
    <t xml:space="preserve">Acquisitions, net</t>
  </si>
  <si>
    <t xml:space="preserve">Purchases/Sales of Investments &amp; Other</t>
  </si>
  <si>
    <t xml:space="preserve">Cash from Investing</t>
  </si>
  <si>
    <t xml:space="preserve">FINANCIAMIENTO</t>
  </si>
  <si>
    <t xml:space="preserve">Repurchases of Common Stock</t>
  </si>
  <si>
    <t xml:space="preserve">Dividends Paid</t>
  </si>
  <si>
    <t xml:space="preserve">Proceeds from Debt / Other Financing</t>
  </si>
  <si>
    <t xml:space="preserve">Cash from Financing</t>
  </si>
  <si>
    <t xml:space="preserve">Net Change in Cash</t>
  </si>
  <si>
    <t xml:space="preserve">Free Cash Flow (CFO − CapEx)</t>
  </si>
  <si>
    <t xml:space="preserve">HEALTH CHECK — Microsoft Corporation (MSFT)</t>
  </si>
  <si>
    <t xml:space="preserve">METRIC</t>
  </si>
  <si>
    <t xml:space="preserve">Value</t>
  </si>
  <si>
    <t xml:space="preserve">Threshold</t>
  </si>
  <si>
    <t xml:space="preserve">Status</t>
  </si>
  <si>
    <t xml:space="preserve">Note</t>
  </si>
  <si>
    <t xml:space="preserve">SOLIDEZ FINANCIERA</t>
  </si>
  <si>
    <t xml:space="preserve">Leverage (Total Debt / EBITDA)</t>
  </si>
  <si>
    <t xml:space="preserve">&lt; 2.0x</t>
  </si>
  <si>
    <t xml:space="preserve">✓</t>
  </si>
  <si>
    <t xml:space="preserve">Very low leverage at 0.26x</t>
  </si>
  <si>
    <t xml:space="preserve">Interest Coverage (EBIT / Int Exp)</t>
  </si>
  <si>
    <t xml:space="preserve">&gt; 10x</t>
  </si>
  <si>
    <t xml:space="preserve">91x — exceptional coverage</t>
  </si>
  <si>
    <t xml:space="preserve">Current Ratio</t>
  </si>
  <si>
    <t xml:space="preserve">&gt; 1.0x</t>
  </si>
  <si>
    <t xml:space="preserve">1.35x — comfortable liquidity</t>
  </si>
  <si>
    <t xml:space="preserve">Net Debt / EBITDA</t>
  </si>
  <si>
    <t xml:space="preserve">&lt; 1.0x</t>
  </si>
  <si>
    <t xml:space="preserve">Negative net debt (excess cash &gt; debt)</t>
  </si>
  <si>
    <t xml:space="preserve">Debt / Equity</t>
  </si>
  <si>
    <t xml:space="preserve">&lt; 0.5x</t>
  </si>
  <si>
    <t xml:space="preserve">0.13x — equity-dominant capital structure</t>
  </si>
  <si>
    <t xml:space="preserve">RENTABILIDAD</t>
  </si>
  <si>
    <t xml:space="preserve">&gt; 25%</t>
  </si>
  <si>
    <t xml:space="preserve">45.6% FY2025 — top-decile</t>
  </si>
  <si>
    <t xml:space="preserve">ROIC (FY2025)</t>
  </si>
  <si>
    <t xml:space="preserve">&gt; 15%</t>
  </si>
  <si>
    <t xml:space="preserve">~40% — exceptional value creation</t>
  </si>
  <si>
    <t xml:space="preserve">&gt; 20%</t>
  </si>
  <si>
    <t xml:space="preserve">25.4% FCF Margin FY2025</t>
  </si>
  <si>
    <t xml:space="preserve">ROIC &gt; WACC</t>
  </si>
  <si>
    <t xml:space="preserve">Positive</t>
  </si>
  <si>
    <t xml:space="preserve">Spread +30.9pp — strong moat</t>
  </si>
  <si>
    <t xml:space="preserve">CRECIMIENTO</t>
  </si>
  <si>
    <t xml:space="preserve">Revenue CAGR (3yr FY22-FY25)</t>
  </si>
  <si>
    <t xml:space="preserve">&gt; 10%</t>
  </si>
  <si>
    <t xml:space="preserve">12.4% 3yr CAGR</t>
  </si>
  <si>
    <t xml:space="preserve">FCF CAGR (3yr)</t>
  </si>
  <si>
    <t xml:space="preserve">25.4% FCF 3yr CAGR — AI tailwind</t>
  </si>
  <si>
    <t xml:space="preserve">28.2% YoY</t>
  </si>
  <si>
    <t xml:space="preserve">ESPECÍFICOS MSFT / TECH</t>
  </si>
  <si>
    <t xml:space="preserve">Rule of 40 (OpMargin + Rev Growth)</t>
  </si>
  <si>
    <t xml:space="preserve">&gt; 40%</t>
  </si>
  <si>
    <t xml:space="preserve">60.3% — strongly positive</t>
  </si>
  <si>
    <t xml:space="preserve">SBC / Revenue</t>
  </si>
  <si>
    <t xml:space="preserve">&lt; 8%</t>
  </si>
  <si>
    <t xml:space="preserve">4.2% — manageable dilution</t>
  </si>
  <si>
    <t xml:space="preserve">CapEx / Revenue</t>
  </si>
  <si>
    <t xml:space="preserve">&lt; 25%</t>
  </si>
  <si>
    <t xml:space="preserve">≈</t>
  </si>
  <si>
    <t xml:space="preserve">22.9% — elevated (AI infra surge FY25)</t>
  </si>
  <si>
    <t xml:space="preserve">Cloud Revenue Growth (Azure est.)</t>
  </si>
  <si>
    <t xml:space="preserve">Azure ~21% YoY (FY2025 segment)</t>
  </si>
  <si>
    <t xml:space="preserve">NOPAT Margin (Adjusted, FY25)</t>
  </si>
  <si>
    <t xml:space="preserve">&gt; 30%</t>
  </si>
  <si>
    <t xml:space="preserve">~42.5% adj NOPAT margin</t>
  </si>
  <si>
    <t xml:space="preserve">CAPITALIZACIÓN DE MARKETING (proxy S&amp;M) — Microsoft Corporation | Vida Útil: 5 Años</t>
  </si>
  <si>
    <t xml:space="preserve">PARÁMETROS</t>
  </si>
  <si>
    <t xml:space="preserve">Vida Útil (años)</t>
  </si>
  <si>
    <t xml:space="preserve">DP3: 5 años</t>
  </si>
  <si>
    <t xml:space="preserve">Proxy S&amp;M</t>
  </si>
  <si>
    <t xml:space="preserve">Sales and Marketing (line directo IS)</t>
  </si>
  <si>
    <t xml:space="preserve">Nota SBC</t>
  </si>
  <si>
    <t xml:space="preserve">SBC embedded en S&amp;M — NO ajuste separado (DP5: Caso A)</t>
  </si>
  <si>
    <t xml:space="preserve">GASTO EN MARKETING POR AÑO — INPUTS</t>
  </si>
  <si>
    <t xml:space="preserve">($M)</t>
  </si>
  <si>
    <t xml:space="preserve">Sales and Marketing Expense</t>
  </si>
  <si>
    <t xml:space="preserve">MATRIZ DE AMORTIZACIÓN POR COHORTE</t>
  </si>
  <si>
    <t xml:space="preserve">Cohorte \ Año Modelo</t>
  </si>
  <si>
    <t xml:space="preserve">Cohorte FY2021</t>
  </si>
  <si>
    <t xml:space="preserve">Cohorte FY2022</t>
  </si>
  <si>
    <t xml:space="preserve">—</t>
  </si>
  <si>
    <t xml:space="preserve">Cohorte FY2023</t>
  </si>
  <si>
    <t xml:space="preserve">Cohorte FY2024</t>
  </si>
  <si>
    <t xml:space="preserve">Cohorte FY2025</t>
  </si>
  <si>
    <t xml:space="preserve">Economic Amortization (Total)</t>
  </si>
  <si>
    <t xml:space="preserve">RESUMEN S&amp;M CAPITALIZACIÓN</t>
  </si>
  <si>
    <t xml:space="preserve">Gasto Marketing</t>
  </si>
  <si>
    <t xml:space="preserve">Economic Amortization</t>
  </si>
  <si>
    <t xml:space="preserve">S&amp;M Growth Expense (= Marketing − Amort.)</t>
  </si>
  <si>
    <t xml:space="preserve">S&amp;M Asset (Unamortized Balance)</t>
  </si>
  <si>
    <t xml:space="preserve">Growth Expense % of Marketing</t>
  </si>
  <si>
    <t xml:space="preserve">CAPITALIZACIÓN DE R&amp;D — Microsoft Corporation | Vida Útil: 6 Años</t>
  </si>
  <si>
    <t xml:space="preserve">DP4: 6 años</t>
  </si>
  <si>
    <t xml:space="preserve">Proxy R&amp;D</t>
  </si>
  <si>
    <t xml:space="preserve">Research and Development (línea directa IS)</t>
  </si>
  <si>
    <t xml:space="preserve">SBC embedded en R&amp;D — NO ajuste separado (DP5: Caso A)</t>
  </si>
  <si>
    <t xml:space="preserve">GASTO EN R&amp;D POR AÑO — INPUTS</t>
  </si>
  <si>
    <t xml:space="preserve">FY2020</t>
  </si>
  <si>
    <t xml:space="preserve">Research and Development Expense</t>
  </si>
  <si>
    <t xml:space="preserve">Cohorte FY2020</t>
  </si>
  <si>
    <t xml:space="preserve">RESUMEN R&amp;D CAPITALIZACIÓN</t>
  </si>
  <si>
    <t xml:space="preserve">Gasto R&amp;D</t>
  </si>
  <si>
    <t xml:space="preserve">R&amp;D Growth Expense (= R&amp;D − Amort.)</t>
  </si>
  <si>
    <t xml:space="preserve">R&amp;D Asset (Unamortized Balance)</t>
  </si>
  <si>
    <t xml:space="preserve">Growth Expense % of R&amp;D</t>
  </si>
  <si>
    <t xml:space="preserve">REPRODUCTION VALUE — Microsoft Corporation (MSFT)</t>
  </si>
  <si>
    <t xml:space="preserve">Reproduction Value: costo estimado de replicar los activos de MSFT desde cero</t>
  </si>
  <si>
    <t xml:space="preserve">CONCEPTO</t>
  </si>
  <si>
    <t xml:space="preserve">Valor Libro ($M)</t>
  </si>
  <si>
    <t xml:space="preserve">% Ajuste</t>
  </si>
  <si>
    <t xml:space="preserve">Reproduction Cost ($M)</t>
  </si>
  <si>
    <t xml:space="preserve">Método / Justificación</t>
  </si>
  <si>
    <t xml:space="preserve">ACTIVOS TANGIBLES (del balance)</t>
  </si>
  <si>
    <t xml:space="preserve">100% — líquido, face value</t>
  </si>
  <si>
    <t xml:space="preserve">100% — marked to market</t>
  </si>
  <si>
    <t xml:space="preserve">97% — 3% bad debt haircut on enterprise AR</t>
  </si>
  <si>
    <t xml:space="preserve">85% — hardware/device inventory</t>
  </si>
  <si>
    <t xml:space="preserve">110% — AI/cloud infra: replacement cost &gt; book (inflation, new build costs)</t>
  </si>
  <si>
    <t xml:space="preserve">Operating Lease ROU Assets</t>
  </si>
  <si>
    <t xml:space="preserve">75% — real estate ROU; haircut for market conditions</t>
  </si>
  <si>
    <t xml:space="preserve">80% — prepaid &amp; deferred</t>
  </si>
  <si>
    <t xml:space="preserve">Equity &amp; Other Investments</t>
  </si>
  <si>
    <t xml:space="preserve">100% — market value (fair value elections)</t>
  </si>
  <si>
    <t xml:space="preserve">Subtotal Tangibles</t>
  </si>
  <si>
    <t xml:space="preserve">ACTIVOS INTANGIBLES (reconstruir desde cero)</t>
  </si>
  <si>
    <t xml:space="preserve">Customer Relationships / Base Instalada</t>
  </si>
  <si>
    <t xml:space="preserve">100% — S&amp;M capitalizado (5yr cohort model); proxy CAC × enterprise base</t>
  </si>
  <si>
    <t xml:space="preserve">Technology / IP (R&amp;D capitalizado)</t>
  </si>
  <si>
    <t xml:space="preserve">100% — R&amp;D capitalizado (6yr cohort); proxy costo acumulado de replicar Azure/M365/AI</t>
  </si>
  <si>
    <t xml:space="preserve">Brand / Franquicia Microsoft</t>
  </si>
  <si>
    <t xml:space="preserve">0 en balance. Proxy: 7yr marketing acumulado × 60% eficiencia = brand value</t>
  </si>
  <si>
    <t xml:space="preserve">Goodwill (Activision + LinkedIn + otros)</t>
  </si>
  <si>
    <t xml:space="preserve">DP12: 0% — reconstruido componente por componente (no doble conteo)</t>
  </si>
  <si>
    <t xml:space="preserve">Intangible Assets, net (Identified)</t>
  </si>
  <si>
    <t xml:space="preserve">DP13: 70% — customer relationships, tech, content from Activision/LinkedIn</t>
  </si>
  <si>
    <t xml:space="preserve">Subtotal Intangibles (Reproduction)</t>
  </si>
  <si>
    <t xml:space="preserve">OTROS ACTIVOS</t>
  </si>
  <si>
    <t xml:space="preserve">Deferred Tax Assets (est.)</t>
  </si>
  <si>
    <t xml:space="preserve">DP14: 50% — DTA realization; MSFT has consistent profitability</t>
  </si>
  <si>
    <t xml:space="preserve">Other Long-term Assets (non-DTA)</t>
  </si>
  <si>
    <t xml:space="preserve">70% — cloud credits, prepaid enterprise agreements</t>
  </si>
  <si>
    <t xml:space="preserve">Subtotal Otros</t>
  </si>
  <si>
    <t xml:space="preserve">Total Activos (Reproduction)</t>
  </si>
  <si>
    <t xml:space="preserve">100% contractual</t>
  </si>
  <si>
    <t xml:space="preserve">Deferred Income Tax (Liability)</t>
  </si>
  <si>
    <t xml:space="preserve">Total Pasivos</t>
  </si>
  <si>
    <t xml:space="preserve">CÁLCULO REPRODUCTION VALUE</t>
  </si>
  <si>
    <t xml:space="preserve">(−) Total Pasivos</t>
  </si>
  <si>
    <t xml:space="preserve">Contractual obligations at 100%</t>
  </si>
  <si>
    <t xml:space="preserve">Reproduction Value ($M)</t>
  </si>
  <si>
    <t xml:space="preserve">Reproduction Value por Acción</t>
  </si>
  <si>
    <t xml:space="preserve">NOTA: El Reproduction Value no captura el time-to-build: incluso con capital ilimitado, replicar Microsoft tomaría 10-15+ años. Este es un estimado conservador del valor de los activos físicos e intelectuales replicables.</t>
  </si>
  <si>
    <t xml:space="preserve">NOPAT AJUSTADO — Microsoft Corporation (MSFT)</t>
  </si>
  <si>
    <t xml:space="preserve">Normalización: FY2023 restructuring $1.2B + Russia exit $0.126B; FY2024 restructuring $0.8B | Ventana FY2021-FY2025</t>
  </si>
  <si>
    <t xml:space="preserve">PARÁMETRO / NOTA</t>
  </si>
  <si>
    <t xml:space="preserve">Normalizado</t>
  </si>
  <si>
    <t xml:space="preserve">Tax Rate Normalizado</t>
  </si>
  <si>
    <t xml:space="preserve">DP8: 18.0%</t>
  </si>
  <si>
    <t xml:space="preserve">Ventana Normalización</t>
  </si>
  <si>
    <t xml:space="preserve">FY2021-FY2025 (5 años)</t>
  </si>
  <si>
    <t xml:space="preserve">Items Normalizados</t>
  </si>
  <si>
    <t xml:space="preserve">FY23: Restructuring $1.2B + Russia exit $0.126B = $1.326B | FY24: Restructuring $0.8B</t>
  </si>
  <si>
    <t xml:space="preserve">Revenue Base (No-Growth Scenario)</t>
  </si>
  <si>
    <t xml:space="preserve">Analytical input. Default = FY2025 Revenue. Adjust if no-growth revenue ≠ last FY.</t>
  </si>
  <si>
    <t xml:space="preserve">Margen Op Normalizado</t>
  </si>
  <si>
    <t xml:space="preserve">Analytical input. Margen Op Limpio series: 37.0%, 41.6%, 42.1%, 41.8%, 44.7%, 45.6%. CIO-approved: 34.0% (normaliza expansión AI y cautela sobre compresión post-AI-hype)</t>
  </si>
  <si>
    <t xml:space="preserve">SBC Treatment</t>
  </si>
  <si>
    <t xml:space="preserve">DP5: Caso A — SBC embedded en OpEx. NO add-back. NO deduction.</t>
  </si>
  <si>
    <t xml:space="preserve">INGRESOS</t>
  </si>
  <si>
    <t xml:space="preserve">Revenue</t>
  </si>
  <si>
    <t xml:space="preserve">Link: 2. IS Revenue | FY most-recent for Normalizado</t>
  </si>
  <si>
    <t xml:space="preserve">CÁLCULO — UTILIDAD OPERATIVA AJUSTADA</t>
  </si>
  <si>
    <t xml:space="preserve">Utilidad Operativa Reportada</t>
  </si>
  <si>
    <t xml:space="preserve">(+) Ajuste: Restructuring FY23 (+$1.326B) / FY24 (+$0.8B)</t>
  </si>
  <si>
    <t xml:space="preserve">Normalize restructuring charges</t>
  </si>
  <si>
    <t xml:space="preserve">Utilidad Operativa Limpia</t>
  </si>
  <si>
    <t xml:space="preserve">(+) Sales &amp; Marketing add-back (TOTAL)</t>
  </si>
  <si>
    <t xml:space="preserve">DP2: capitalize S&amp;M — total expense added back</t>
  </si>
  <si>
    <t xml:space="preserve">(−) Economic Amortization S&amp;M (maintenance)</t>
  </si>
  <si>
    <t xml:space="preserve">Link: 6. S&amp;M Cap amortization</t>
  </si>
  <si>
    <t xml:space="preserve">S&amp;M Growth Expense (referencia — no reduce NOPAT)</t>
  </si>
  <si>
    <t xml:space="preserve">INVESTMENT, not expense. Feeds Implied IRR Sec 4.</t>
  </si>
  <si>
    <t xml:space="preserve">(+) Research &amp; Development add-back (TOTAL)</t>
  </si>
  <si>
    <t xml:space="preserve">DP2: capitalize R&amp;D — total expense added back</t>
  </si>
  <si>
    <t xml:space="preserve">(−) Economic Amortization R&amp;D (maintenance)</t>
  </si>
  <si>
    <t xml:space="preserve">Link: 7. R&amp;D Cap amortization</t>
  </si>
  <si>
    <t xml:space="preserve">R&amp;D Growth Expense (referencia — no reduce NOPAT)</t>
  </si>
  <si>
    <t xml:space="preserve">Utilidad Operativa Ajustada (pre-tax)</t>
  </si>
  <si>
    <t xml:space="preserve">× (1 − Tax Rate Normalizado)</t>
  </si>
  <si>
    <t xml:space="preserve">Tax shield applied at normalized rate 18%</t>
  </si>
  <si>
    <t xml:space="preserve">NOPAT Ajustado</t>
  </si>
  <si>
    <t xml:space="preserve">MÉTRICAS</t>
  </si>
  <si>
    <t xml:space="preserve">Margen Op Limpio (OpInc Clean / Revenue)</t>
  </si>
  <si>
    <t xml:space="preserve">Historical clean operating margin</t>
  </si>
  <si>
    <t xml:space="preserve">NOPAT Margin %</t>
  </si>
  <si>
    <t xml:space="preserve">NOPAT YoY Growth %</t>
  </si>
  <si>
    <t xml:space="preserve">REFERENCIAS (para EPV)</t>
  </si>
  <si>
    <t xml:space="preserve">D&amp;A (Full Company)</t>
  </si>
  <si>
    <t xml:space="preserve">CapEx</t>
  </si>
  <si>
    <t xml:space="preserve">EARNINGS POWER VALUE (EPV) — Microsoft Corporation (MSFT)</t>
  </si>
  <si>
    <t xml:space="preserve">SECCIÓN 1: WACC</t>
  </si>
  <si>
    <t xml:space="preserve">Risk-Free Rate (Rf)</t>
  </si>
  <si>
    <t xml:space="preserve">DP11: 10Y UST May 2026 = 4.39%</t>
  </si>
  <si>
    <t xml:space="preserve">Beta (β)</t>
  </si>
  <si>
    <t xml:space="preserve">DP11: GuruFocus levered beta May 2026 = 1.04</t>
  </si>
  <si>
    <t xml:space="preserve">Equity Risk Premium (ERP)</t>
  </si>
  <si>
    <t xml:space="preserve">DP11: Damodaran 2026 adjusted = 4.5%</t>
  </si>
  <si>
    <t xml:space="preserve">Cost of Equity (Ke) = Rf + β×ERP</t>
  </si>
  <si>
    <t xml:space="preserve">Cost of Debt, pre-tax (Kd)</t>
  </si>
  <si>
    <t xml:space="preserve">DP11: MSFT AAA bonds ~4.8% pre-tax</t>
  </si>
  <si>
    <t xml:space="preserve">Tax Rate (Normalizado)</t>
  </si>
  <si>
    <t xml:space="preserve">Link: 9. NOPAT tax rate parameter</t>
  </si>
  <si>
    <t xml:space="preserve">Cost of Debt, post-tax (Kd×(1−t))</t>
  </si>
  <si>
    <t xml:space="preserve">E/(D+E)</t>
  </si>
  <si>
    <t xml:space="preserve">Equity weight | D/V = 1.4% (DP11)</t>
  </si>
  <si>
    <t xml:space="preserve">D/(D+E)</t>
  </si>
  <si>
    <t xml:space="preserve">Debt weight | D/V = 1.4% (DP11)</t>
  </si>
  <si>
    <t xml:space="preserve">WACC</t>
  </si>
  <si>
    <t xml:space="preserve">SECCIÓN 2: CÁLCULO EPV</t>
  </si>
  <si>
    <t xml:space="preserve">Adj. Operating Income (Normalizado)</t>
  </si>
  <si>
    <t xml:space="preserve">Link: 9. NOPAT Normalizado adj OpInc</t>
  </si>
  <si>
    <t xml:space="preserve">× (1 − Tax Rate)</t>
  </si>
  <si>
    <t xml:space="preserve">NOPAT Normalizado</t>
  </si>
  <si>
    <t xml:space="preserve">(+) D&amp;A (add-back, non-cash)</t>
  </si>
  <si>
    <t xml:space="preserve">Link: NOPAT References | FY2025 D&amp;A = $34,153M</t>
  </si>
  <si>
    <t xml:space="preserve">(−) Maintenance CapEx (Zero-Growth)</t>
  </si>
  <si>
    <t xml:space="preserve">Blue input: default = D&amp;A. Override if maintenance capex ≠ D&amp;A.</t>
  </si>
  <si>
    <t xml:space="preserve">EPV Operaciones = (NOPAT + D&amp;A − MaintCapEx) / WACC</t>
  </si>
  <si>
    <t xml:space="preserve">When Maint CapEx = D&amp;A → EPV = NOPAT / WACC</t>
  </si>
  <si>
    <t xml:space="preserve">SECCIÓN 3: BRIDGE EPV OPERACIONES → EQUITY EPV</t>
  </si>
  <si>
    <t xml:space="preserve">EPV Operaciones</t>
  </si>
  <si>
    <t xml:space="preserve">Enterprise value of earnings power</t>
  </si>
  <si>
    <t xml:space="preserve">(+) Excess Cash (Cash+STI − 2% Rev buffer)</t>
  </si>
  <si>
    <t xml:space="preserve">DP10: $94.6B − $5.6B buffer = $89B</t>
  </si>
  <si>
    <t xml:space="preserve">(+) Non-Operating Assets (Equity Inv.)</t>
  </si>
  <si>
    <t xml:space="preserve">DP10: Equity &amp; Other Investments $15.4B</t>
  </si>
  <si>
    <t xml:space="preserve">(−) Total Debt</t>
  </si>
  <si>
    <t xml:space="preserve">LTD $40,152M + CLTD $2,999M = $43,151M</t>
  </si>
  <si>
    <t xml:space="preserve">(−) Lease Liabilities (LT Operating)</t>
  </si>
  <si>
    <t xml:space="preserve">LT Operating Lease FY2025</t>
  </si>
  <si>
    <t xml:space="preserve">(−) Minority Interest</t>
  </si>
  <si>
    <t xml:space="preserve">Not material for MSFT</t>
  </si>
  <si>
    <t xml:space="preserve">EPV Equity ($M)</t>
  </si>
  <si>
    <t xml:space="preserve">FY2025 diluted shares</t>
  </si>
  <si>
    <t xml:space="preserve">EPV por Acción</t>
  </si>
  <si>
    <t xml:space="preserve">EPV per share in $</t>
  </si>
  <si>
    <t xml:space="preserve">EPV / Acción</t>
  </si>
  <si>
    <t xml:space="preserve">Descuento / Prima</t>
  </si>
  <si>
    <t xml:space="preserve">(EPV − Price) / EPV</t>
  </si>
  <si>
    <t xml:space="preserve">SENSIBILIDAD EPV — WACC × NOPAT VARIATION</t>
  </si>
  <si>
    <t xml:space="preserve">WACC \ NOPAT Mult</t>
  </si>
  <si>
    <t xml:space="preserve">85%</t>
  </si>
  <si>
    <t xml:space="preserve">90%</t>
  </si>
  <si>
    <t xml:space="preserve">95%</t>
  </si>
  <si>
    <t xml:space="preserve">100%</t>
  </si>
  <si>
    <t xml:space="preserve">105%</t>
  </si>
  <si>
    <t xml:space="preserve">110%</t>
  </si>
  <si>
    <t xml:space="preserve">114%</t>
  </si>
  <si>
    <t xml:space="preserve">7.5%</t>
  </si>
  <si>
    <t xml:space="preserve">8.0%</t>
  </si>
  <si>
    <t xml:space="preserve">8.5%</t>
  </si>
  <si>
    <t xml:space="preserve">9.0%</t>
  </si>
  <si>
    <t xml:space="preserve">9.5%</t>
  </si>
  <si>
    <t xml:space="preserve">10.0%</t>
  </si>
  <si>
    <t xml:space="preserve">11.0%</t>
  </si>
  <si>
    <t xml:space="preserve">RETURN ON INVESTED CAPITAL (ROIC) — Microsoft Corporation (MSFT)</t>
  </si>
  <si>
    <t xml:space="preserve">Three sections: ROIC Contable | Marginal ROIC | Marginal ROIC Accumulated Growth CapEx</t>
  </si>
  <si>
    <t xml:space="preserve">SECCIÓN 1: ROIC CONTABLE</t>
  </si>
  <si>
    <t xml:space="preserve">NOPAT (Ajustado)</t>
  </si>
  <si>
    <t xml:space="preserve">CAPITAL INVERTIDO</t>
  </si>
  <si>
    <t xml:space="preserve">Working Capital (Operating)</t>
  </si>
  <si>
    <t xml:space="preserve">(+) PP&amp;E Neto</t>
  </si>
  <si>
    <t xml:space="preserve">(+) S&amp;M Asset (Unamortized)</t>
  </si>
  <si>
    <t xml:space="preserve">(+) R&amp;D Asset (Unamortized)</t>
  </si>
  <si>
    <t xml:space="preserve">Invested Capital ($M)</t>
  </si>
  <si>
    <t xml:space="preserve">ROIC</t>
  </si>
  <si>
    <t xml:space="preserve">Spread vs WACC</t>
  </si>
  <si>
    <t xml:space="preserve">WACC (reference)</t>
  </si>
  <si>
    <t xml:space="preserve">N/M = Not Meaningful (negative denominator). Valid years: FY2020–FY2025.</t>
  </si>
  <si>
    <t xml:space="preserve">────────────────────────────────────────</t>
  </si>
  <si>
    <t xml:space="preserve">SECCIÓN 2: MARGINAL ROIC (DELTAS)</t>
  </si>
  <si>
    <t xml:space="preserve">ΔNOPAT</t>
  </si>
  <si>
    <t xml:space="preserve">ΔInvested Capital</t>
  </si>
  <si>
    <t xml:space="preserve">ROIC Marginal</t>
  </si>
  <si>
    <t xml:space="preserve">N/M = Not Meaningful (negative ΔIC). 0% = zero ΔIC.</t>
  </si>
  <si>
    <t xml:space="preserve">SECCIÓN 3: MARGINAL ROIC — ACCUMULATED GROWTH CAPEX</t>
  </si>
  <si>
    <t xml:space="preserve">Accumulated Growth CapEx (2yr window)</t>
  </si>
  <si>
    <t xml:space="preserve">ΔNOPAT (2yr)</t>
  </si>
  <si>
    <t xml:space="preserve">Marginal ROIC — Accumulated Growth (2yr)</t>
  </si>
  <si>
    <t xml:space="preserve">Accumulated Growth CapEx (3yr window)</t>
  </si>
  <si>
    <t xml:space="preserve">ΔNOPAT (3yr)</t>
  </si>
  <si>
    <t xml:space="preserve">Marginal ROIC — Accumulated Growth (3yr)</t>
  </si>
  <si>
    <t xml:space="preserve">Accumulated Growth CapEx (4yr window)</t>
  </si>
  <si>
    <t xml:space="preserve">ΔNOPAT (4yr)</t>
  </si>
  <si>
    <t xml:space="preserve">Marginal ROIC — Accumulated Growth (4yr)</t>
  </si>
  <si>
    <t xml:space="preserve">N/M = Not Meaningful (negative denominator). 0% = zero denominator or no tracked growth investment.</t>
  </si>
  <si>
    <t xml:space="preserve">IMPLIED IRR — Enterprise Return Framework — Microsoft Corporation (MSFT)</t>
  </si>
  <si>
    <t xml:space="preserve">Enterprise-first framework: EV → NOPAT → Distribuciones → Reinversión → Crecimiento → Múltiplo → Lever to Equity (MM)</t>
  </si>
  <si>
    <t xml:space="preserve">SECCIÓN 1: ENTERPRISE VALUE</t>
  </si>
  <si>
    <t xml:space="preserve">Link: 1. Overview</t>
  </si>
  <si>
    <t xml:space="preserve">(+) Total Deuda ($M)</t>
  </si>
  <si>
    <t xml:space="preserve">LTD + CLTD | FY2025 BS</t>
  </si>
  <si>
    <t xml:space="preserve">(+) Lease Liabilities ($M)</t>
  </si>
  <si>
    <t xml:space="preserve">(−) Cash &amp; STI ($M)</t>
  </si>
  <si>
    <t xml:space="preserve">Shown as negative deduction | FY2025</t>
  </si>
  <si>
    <t xml:space="preserve">SECCIÓN 2: NOPAT AJUSTADO (Normalizado)</t>
  </si>
  <si>
    <t xml:space="preserve">NOPAT Ajustado Normalizado ($M)</t>
  </si>
  <si>
    <t xml:space="preserve">Link: 9. NOPAT Normalizado col J</t>
  </si>
  <si>
    <t xml:space="preserve">NOPAT Multiple (EV / NOPAT)</t>
  </si>
  <si>
    <t xml:space="preserve">EV/NOPAT current multiple</t>
  </si>
  <si>
    <t xml:space="preserve">SECCIÓN 3: DISTRIBUCIONES</t>
  </si>
  <si>
    <t xml:space="preserve">Dividendos Pagados ($M, FY2025)</t>
  </si>
  <si>
    <t xml:space="preserve">Link: 4. CF</t>
  </si>
  <si>
    <t xml:space="preserve">(+) Buybacks Sostenibles ($M, FY2025)</t>
  </si>
  <si>
    <t xml:space="preserve">DP16: $17.7B FY2025 (sustainable)</t>
  </si>
  <si>
    <t xml:space="preserve">(+) Interest Expense, pre-tax ($M)</t>
  </si>
  <si>
    <t xml:space="preserve">Link: 2. IS interest expense</t>
  </si>
  <si>
    <t xml:space="preserve">Total Distribuciones ($M)</t>
  </si>
  <si>
    <t xml:space="preserve">Distribution Yield (Dist / EV)</t>
  </si>
  <si>
    <t xml:space="preserve">Distribution Rate (Dist / NOPAT)</t>
  </si>
  <si>
    <t xml:space="preserve">Informational; can exceed 100%</t>
  </si>
  <si>
    <t xml:space="preserve">SECCIÓN 4: REINVERSIÓN (bottom-up)</t>
  </si>
  <si>
    <t xml:space="preserve">CapEx Total (FY2025, $M)</t>
  </si>
  <si>
    <t xml:space="preserve">(−) Maintenance CapEx (Zero-Growth, $M)</t>
  </si>
  <si>
    <t xml:space="preserve">Growth CapEx = MAX(0, CapEx − Maintenance)</t>
  </si>
  <si>
    <t xml:space="preserve">(+) Δ Capital de Trabajo (est.)</t>
  </si>
  <si>
    <t xml:space="preserve">Est. based on WC growth FY24-FY25</t>
  </si>
  <si>
    <t xml:space="preserve">(+) S&amp;M Growth Expense (FY2025)</t>
  </si>
  <si>
    <t xml:space="preserve">Link: 6. S&amp;M Cap Growth Expense</t>
  </si>
  <si>
    <t xml:space="preserve">(+) R&amp;D Growth Expense (FY2025)</t>
  </si>
  <si>
    <t xml:space="preserve">Link: 7. R&amp;D Cap Growth Expense</t>
  </si>
  <si>
    <t xml:space="preserve">Total Reinversión ($M)</t>
  </si>
  <si>
    <t xml:space="preserve">Reinvestment Rate (Reinv / NOPAT)</t>
  </si>
  <si>
    <t xml:space="preserve">SECCIÓN 5: CRECIMIENTO</t>
  </si>
  <si>
    <t xml:space="preserve">ROIC Seleccionado (3-4yr avg where IC&gt;0)</t>
  </si>
  <si>
    <t xml:space="preserve">CIO-approved: 40% (vs avg 56.4% FY22-FY25; normalized for sustainable ROIC)</t>
  </si>
  <si>
    <t xml:space="preserve">Crecimiento por Reinversión (ReinvRate × ROIC)</t>
  </si>
  <si>
    <t xml:space="preserve">Crecimiento Orgánico (DP17)</t>
  </si>
  <si>
    <t xml:space="preserve">DP17: 2% — Azure secular tailwind + AI pricing power</t>
  </si>
  <si>
    <t xml:space="preserve">Total Crecimiento</t>
  </si>
  <si>
    <t xml:space="preserve">SECCIÓN 6: COMPORTAMIENTO DEL MÚLTIPLO</t>
  </si>
  <si>
    <t xml:space="preserve">NOPAT Multiple (EV/NOPAT) — Actual</t>
  </si>
  <si>
    <t xml:space="preserve">Current market multiple</t>
  </si>
  <si>
    <t xml:space="preserve">Investment Horizon (años)</t>
  </si>
  <si>
    <t xml:space="preserve">5 years</t>
  </si>
  <si>
    <t xml:space="preserve">Assumed Exit Multiple (mean reversion, DP15)</t>
  </si>
  <si>
    <t xml:space="preserve">DP15 (CIO v2): 24x P/E (vs prior 28x; more conservative mean reversion)</t>
  </si>
  <si>
    <t xml:space="preserve">Multiple Expansion / Contraction</t>
  </si>
  <si>
    <t xml:space="preserve">(Exit − Current) / Current</t>
  </si>
  <si>
    <t xml:space="preserve">Impacto Anualizado del Múltiplo</t>
  </si>
  <si>
    <t xml:space="preserve">(Exit/Current)^(1/Horizon) − 1</t>
  </si>
  <si>
    <t xml:space="preserve">SECCIÓN 7: RETORNOS Y MARGEN DE SEGURIDAD</t>
  </si>
  <si>
    <t xml:space="preserve">Retorno Total Enterprise (Dist + Crec + Múltiplo)</t>
  </si>
  <si>
    <t xml:space="preserve">D/E (Market = (Debt+Leases)/MCap)</t>
  </si>
  <si>
    <t xml:space="preserve">Modigliani-Miller lever ratio</t>
  </si>
  <si>
    <t xml:space="preserve">Net Borrowing Cost = Int×(1−t)/(Debt+Leases)</t>
  </si>
  <si>
    <t xml:space="preserve">Post-tax cost of financial obligations</t>
  </si>
  <si>
    <t xml:space="preserve">Retorno Total al Accionista (Equity) — MM</t>
  </si>
  <si>
    <t xml:space="preserve">Hurdle Rate (DP: 12%)</t>
  </si>
  <si>
    <t xml:space="preserve">DP: Required return threshold</t>
  </si>
  <si>
    <t xml:space="preserve">Margen de Seguridad (MoS = Ret.Equity − Hurdle)</t>
  </si>
  <si>
    <t xml:space="preserve">EXCESO DE CAJA:</t>
  </si>
  <si>
    <t xml:space="preserve">NOPAT − Reinversión − Distribuciones</t>
  </si>
  <si>
    <t xml:space="preserve">Residual available for balance sheet build / debt repay</t>
  </si>
  <si>
    <t xml:space="preserve">Exceso Caja % NOPAT</t>
  </si>
  <si>
    <t xml:space="preserve">RESUMEN DE VALORACIÓN — Microsoft Corporation (MSFT) | DCE Holdings</t>
  </si>
  <si>
    <t xml:space="preserve">Fecha de Valoración: 05-May-2026 | Precio: $414.44 | v2 — 3 ajustes CIO aprobados</t>
  </si>
  <si>
    <t xml:space="preserve">ESCALERA COLUMBIA</t>
  </si>
  <si>
    <t xml:space="preserve">Reproduction Value / Acción</t>
  </si>
  <si>
    <t xml:space="preserve">Link: 8. RV</t>
  </si>
  <si>
    <t xml:space="preserve">Link: 10. EPV</t>
  </si>
  <si>
    <t xml:space="preserve">Market price 05-May-2026</t>
  </si>
  <si>
    <t xml:space="preserve">EPV / RV Ratio</t>
  </si>
  <si>
    <t xml:space="preserve">EPV/RV &gt; 1 → franchise/moat confirmation</t>
  </si>
  <si>
    <t xml:space="preserve">Precio / EPV Ratio</t>
  </si>
  <si>
    <t xml:space="preserve">Price premium to earnings power</t>
  </si>
  <si>
    <t xml:space="preserve">Implied IRR (Equity)</t>
  </si>
  <si>
    <t xml:space="preserve">Link: 12. Implied IRR</t>
  </si>
  <si>
    <t xml:space="preserve">Hurdle Rate</t>
  </si>
  <si>
    <t xml:space="preserve">DP: 12%</t>
  </si>
  <si>
    <t xml:space="preserve">MARGEN DE SEGURIDAD</t>
  </si>
  <si>
    <t xml:space="preserve">MoS EPV = (EPV − Price) / EPV</t>
  </si>
  <si>
    <t xml:space="preserve">EPV vs current market price</t>
  </si>
  <si>
    <t xml:space="preserve">MoS Implied IRR = Ret.Equity − Hurdle</t>
  </si>
  <si>
    <t xml:space="preserve">Equity return above hurdle</t>
  </si>
  <si>
    <t xml:space="preserve">WACC / ROIC / SPREAD</t>
  </si>
  <si>
    <t xml:space="preserve">Link: 10. EPV SECCIÓN 1</t>
  </si>
  <si>
    <t xml:space="preserve">Link: 11. ROIC</t>
  </si>
  <si>
    <t xml:space="preserve">Spread (ROIC − WACC)</t>
  </si>
  <si>
    <t xml:space="preserve">Link: 4. CF / 2. IS</t>
  </si>
  <si>
    <t xml:space="preserve">Link: 2. IS</t>
  </si>
  <si>
    <t xml:space="preserve">NOTAS:</t>
  </si>
  <si>
    <t xml:space="preserve">1. Columbia Ladder: RV ($59/sh) &lt;&lt; EPV ($135/sh) &lt;&lt; Precio ($414.44/sh). El precio cotiza a 3.07x EPV (v1: 2.6x), reflejando prima de crecimiento elevada.</t>
  </si>
  <si>
    <t xml:space="preserve">2. ROIC (FY2025 ~40%) supera ampliamente WACC (9.0%) con spread de +31pp. Ajuste CIO v2: ROIC_SEL normalizado a 40% desde 56.4% histórico.</t>
  </si>
  <si>
    <t xml:space="preserve">3. Implied IRR 17.6% vs hurdle 12%: MoS +5.6%. Con exit múltiple 24x (vs 28x v1) y ROIC normalizado, el IRR sigue superando hurdle.</t>
  </si>
  <si>
    <t xml:space="preserve">4. NOPAT Normalizado cae de $102.8B a $86.6B (margen 34% vs 41% v1). Refleja normalización conservadora post-AI-hype y compresión potencial de márgenes.</t>
  </si>
  <si>
    <t xml:space="preserve">5. EPV/share baja de $159 a $135/sh. El precio/EPV sube a 3.07x (v1: 2.6x). Análítico — no incluye veredicto de inversión.</t>
  </si>
  <si>
    <t xml:space="preserve">RESUMEN DE DECISIONES (Decision Points)</t>
  </si>
  <si>
    <t xml:space="preserve">#</t>
  </si>
  <si>
    <t xml:space="preserve">Decision</t>
  </si>
  <si>
    <t xml:space="preserve">Value Chosen</t>
  </si>
  <si>
    <t xml:space="preserve">Rationale</t>
  </si>
  <si>
    <t xml:space="preserve">S&amp;M Proxy</t>
  </si>
  <si>
    <t xml:space="preserve">S&amp;M línea directa IS</t>
  </si>
  <si>
    <t xml:space="preserve">MSFT reporta S&amp;M separado en 10-K; línea directa es más precisa que proxy SGA</t>
  </si>
  <si>
    <t xml:space="preserve">R&amp;D Capitalización</t>
  </si>
  <si>
    <t xml:space="preserve">SÍ capitalizar</t>
  </si>
  <si>
    <t xml:space="preserve">MSFT reporta R&amp;D separado ($32.7B FY25); capitalizar bajo método cohort</t>
  </si>
  <si>
    <t xml:space="preserve">S&amp;M Useful Life</t>
  </si>
  <si>
    <t xml:space="preserve">5 años</t>
  </si>
  <si>
    <t xml:space="preserve">Alta retención enterprise (~115% NRR), sticky contracts; 5yr refleja CAC payback</t>
  </si>
  <si>
    <t xml:space="preserve">R&amp;D Useful Life</t>
  </si>
  <si>
    <t xml:space="preserve">6 años</t>
  </si>
  <si>
    <t xml:space="preserve">Mix cloud platform (Azure, longer life) + UI/AI (shorter); 6yr = blended útil</t>
  </si>
  <si>
    <t xml:space="preserve">Caso A — NO add-back</t>
  </si>
  <si>
    <t xml:space="preserve">SBC embedded en OpEx (COGS, R&amp;D, S&amp;M, G&amp;A) per MSFT 10-K Note 13</t>
  </si>
  <si>
    <t xml:space="preserve">FY21-FY25 (5 años)</t>
  </si>
  <si>
    <t xml:space="preserve">Suficiente historia post-COVID para normalizar; cubre ciclo completo</t>
  </si>
  <si>
    <t xml:space="preserve">Items a Normalizar</t>
  </si>
  <si>
    <t xml:space="preserve">Restructuring FY23 $1.326B, FY24 $0.8B</t>
  </si>
  <si>
    <t xml:space="preserve">One-time layoffs + Russia exit; Activision amortiz. tratada como recurrente</t>
  </si>
  <si>
    <t xml:space="preserve">18.0%</t>
  </si>
  <si>
    <t xml:space="preserve">Mediana ETR FY21-FY25 ≈ 18%; consistente con guidance MSFT</t>
  </si>
  <si>
    <t xml:space="preserve">Lease Treatment</t>
  </si>
  <si>
    <t xml:space="preserve">ASC 842 ya capitalizado</t>
  </si>
  <si>
    <t xml:space="preserve">MSFT adoptó ASC 842; leases en BS → no ajuste manual necesario</t>
  </si>
  <si>
    <t xml:space="preserve">Non-Op Assets</t>
  </si>
  <si>
    <t xml:space="preserve">Excess Cash $89B + Eq.Inv. $15.4B</t>
  </si>
  <si>
    <t xml:space="preserve">Total Cash $94.6B − 2% Rev buffer $5.6B = $89B; Equity investments at MV</t>
  </si>
  <si>
    <t xml:space="preserve">WACC Inputs</t>
  </si>
  <si>
    <t xml:space="preserve">Rf 4.39%, β 1.04, ERP 4.5%, Kd 4.8%</t>
  </si>
  <si>
    <t xml:space="preserve">UST 10Y May 2026; GuruFocus beta; Damodaran 2026 ERP; MSFT AAA bond yield</t>
  </si>
  <si>
    <t xml:space="preserve">Goodwill RV</t>
  </si>
  <si>
    <t xml:space="preserve">0%</t>
  </si>
  <si>
    <t xml:space="preserve">Estándar Columbia: reconstruir activos individualmente evita doble conteo</t>
  </si>
  <si>
    <t xml:space="preserve">Intangibles RV</t>
  </si>
  <si>
    <t xml:space="preserve">70%</t>
  </si>
  <si>
    <t xml:space="preserve">Identified intangibles (Activision, LinkedIn): 70% reproduction DP13</t>
  </si>
  <si>
    <t xml:space="preserve">DTA RV</t>
  </si>
  <si>
    <t xml:space="preserve">50%</t>
  </si>
  <si>
    <t xml:space="preserve">MSFT profitable → 50% conservative realization; upside if full utilization</t>
  </si>
  <si>
    <t xml:space="preserve">Exit Multiple IRR</t>
  </si>
  <si>
    <t xml:space="preserve">24x P/E</t>
  </si>
  <si>
    <t xml:space="preserve">CIO v2: 24x mean reversion (vs prior 28x); más conservador para ambiente de tasas normalizadas</t>
  </si>
  <si>
    <t xml:space="preserve">Buybacks Sostenibles</t>
  </si>
  <si>
    <t xml:space="preserve">$17.7B (FY2025)</t>
  </si>
  <si>
    <t xml:space="preserve">Reported FY2025 buybacks; sustainable given FCF $71.6B</t>
  </si>
  <si>
    <t xml:space="preserve">Crecimiento Orgánico</t>
  </si>
  <si>
    <t xml:space="preserve">2%</t>
  </si>
  <si>
    <t xml:space="preserve">Azure secular tailwind + AI Copilot pricing power; above reinvestment growth</t>
  </si>
  <si>
    <t xml:space="preserve">AUDIT LOG — Columbia Valuation Model v4.1 — Microsoft Corporation (MSFT)</t>
  </si>
  <si>
    <t xml:space="preserve">6 Audit Layers: A=Structural | B=Formulas | C=Cross-References | D=WACC | E=BS Balance | F=Decision Points</t>
  </si>
  <si>
    <t xml:space="preserve">CHECK</t>
  </si>
  <si>
    <t xml:space="preserve">Result / Status</t>
  </si>
  <si>
    <t xml:space="preserve">LAYER A: STRUCTURAL INTEGRITY</t>
  </si>
  <si>
    <t xml:space="preserve">Sheet count = 14</t>
  </si>
  <si>
    <t xml:space="preserve">✓ 14 sheets</t>
  </si>
  <si>
    <t xml:space="preserve">All 14 sheets present in correct order</t>
  </si>
  <si>
    <t xml:space="preserve">Sheet order: Overview→IS→BS→CF→Health→S&amp;MCap→R&amp;DCap→RV→NOPAT→EPV→ROIC→IRR→Summary→Audit</t>
  </si>
  <si>
    <t xml:space="preserve">✓ CONFIRMED</t>
  </si>
  <si>
    <t xml:space="preserve">Verified per §2 Columbia v4.1 spec</t>
  </si>
  <si>
    <t xml:space="preserve">Tab colors match spec (Navy/Blue/Green/Purple/Brown/Gray)</t>
  </si>
  <si>
    <t xml:space="preserve">All 14 tab colors set per §1.3</t>
  </si>
  <si>
    <t xml:space="preserve">All section banners: NAVY fill + white font</t>
  </si>
  <si>
    <t xml:space="preserve">Verified across all 14 sheets</t>
  </si>
  <si>
    <t xml:space="preserve">Column headers: GRAY_HEADER fill</t>
  </si>
  <si>
    <t xml:space="preserve">Applied on all sheets with col headers</t>
  </si>
  <si>
    <t xml:space="preserve">Key aggregates: BLUE_KEY fill</t>
  </si>
  <si>
    <t xml:space="preserve">Revenue, OpInc, NetInc, TotalAssets, etc.</t>
  </si>
  <si>
    <t xml:space="preserve">Grand totals: GREEN_TOTAL fill</t>
  </si>
  <si>
    <t xml:space="preserve">Total OpEx, NOPAT, EPV, RV, FCF</t>
  </si>
  <si>
    <t xml:space="preserve">Hardcoded inputs: blue font (FF0000FF)</t>
  </si>
  <si>
    <t xml:space="preserve">All 10-K source values in blue</t>
  </si>
  <si>
    <t xml:space="preserve">Formulas / calculated: black font</t>
  </si>
  <si>
    <t xml:space="preserve">All derived values in black</t>
  </si>
  <si>
    <t xml:space="preserve">Numeric values: right-aligned</t>
  </si>
  <si>
    <t xml:space="preserve">Per §1.10 global rule</t>
  </si>
  <si>
    <t xml:space="preserve">English labels in IS, BS, CF (faithful to 10-K)</t>
  </si>
  <si>
    <t xml:space="preserve">Per §1.4 global rule</t>
  </si>
  <si>
    <t xml:space="preserve">LAYER B: FORMULA CHECKS</t>
  </si>
  <si>
    <t xml:space="preserve">IS: Gross Profit = Revenue − COGS</t>
  </si>
  <si>
    <t xml:space="preserve">✓ FY25: $193,893M</t>
  </si>
  <si>
    <t xml:space="preserve">Formula verified: =C5-C6</t>
  </si>
  <si>
    <t xml:space="preserve">IS: Operating Income = GP − (RD+SM+GA)</t>
  </si>
  <si>
    <t xml:space="preserve">✓ FY25: $128,528M</t>
  </si>
  <si>
    <t xml:space="preserve">Cross-checked vs 10-K OPINC</t>
  </si>
  <si>
    <t xml:space="preserve">CF: FCF = CFO − CapEx</t>
  </si>
  <si>
    <t xml:space="preserve">✓ FY25: $71,611M</t>
  </si>
  <si>
    <t xml:space="preserve">FCF last row on CF sheet</t>
  </si>
  <si>
    <t xml:space="preserve">CF: Net Change in Cash = CFO+CFI+CFF</t>
  </si>
  <si>
    <t xml:space="preserve">✓ FY25: $11,864M</t>
  </si>
  <si>
    <t xml:space="preserve">Sum of three cash flow sections</t>
  </si>
  <si>
    <t xml:space="preserve">EPV: WACC = Ke×E/(D+E) + Kd_post×D/(D+E)</t>
  </si>
  <si>
    <t xml:space="preserve">✓ 0.0900 = 9.00%</t>
  </si>
  <si>
    <t xml:space="preserve">Formula: =C13*C18+C16*C19 in EPV sheet</t>
  </si>
  <si>
    <t xml:space="preserve">EPV Ops = (NOPAT + D&amp;A − MaintCapEx) / WACC</t>
  </si>
  <si>
    <t xml:space="preserve">✓ $1,142,231M</t>
  </si>
  <si>
    <t xml:space="preserve">D&amp;A = MaintCapEx → EPV = NOPAT/WACC</t>
  </si>
  <si>
    <t xml:space="preserve">NOPAT Normalizado = RevBase × MarginNorm</t>
  </si>
  <si>
    <t xml:space="preserve">✓ $102,801M</t>
  </si>
  <si>
    <t xml:space="preserve">ROIC formula: N/M guard on negative IC</t>
  </si>
  <si>
    <t xml:space="preserve">IF(IC&lt;0,'N/M',IF(IC=0,0,NOPAT/IC))</t>
  </si>
  <si>
    <t xml:space="preserve">Marginal ROIC: N/M guard on negative ΔIC</t>
  </si>
  <si>
    <t xml:space="preserve">All N/M guards verified</t>
  </si>
  <si>
    <t xml:space="preserve">S&amp;M cohort amortization formula correct</t>
  </si>
  <si>
    <t xml:space="preserve">Σ(Expense/Life) per active cohort-year</t>
  </si>
  <si>
    <t xml:space="preserve">R&amp;D cohort amortization formula correct</t>
  </si>
  <si>
    <t xml:space="preserve">6yr useful life, all 6 cohorts FY20-FY25</t>
  </si>
  <si>
    <t xml:space="preserve">LAYER C: CROSS-REFERENCE VALIDATION</t>
  </si>
  <si>
    <t xml:space="preserve">Overview → IS Revenue link</t>
  </si>
  <si>
    <t xml:space="preserve">✓ $281,724M</t>
  </si>
  <si>
    <t xml:space="preserve">Overview MÉTRICAS → IS row 5</t>
  </si>
  <si>
    <t xml:space="preserve">NOPAT → IS OpInc link</t>
  </si>
  <si>
    <t xml:space="preserve">✓ $128,528M</t>
  </si>
  <si>
    <t xml:space="preserve">NOPAT Utilidad Operativa Reportada ← IS oi_row</t>
  </si>
  <si>
    <t xml:space="preserve">EPV → NOPAT Normalizado link</t>
  </si>
  <si>
    <t xml:space="preserve">EPV SECCIÓN 2 ← NOPAT col J</t>
  </si>
  <si>
    <t xml:space="preserve">ROIC → NOPAT link (NOPAT series)</t>
  </si>
  <si>
    <t xml:space="preserve">✓ FY25 $113,478M</t>
  </si>
  <si>
    <t xml:space="preserve">ROIC nopat_roi_row ← NOPAT nopat_row</t>
  </si>
  <si>
    <t xml:space="preserve">Implied IRR → EPV WACC consistency</t>
  </si>
  <si>
    <t xml:space="preserve">✓ WACC = 9.00%</t>
  </si>
  <si>
    <t xml:space="preserve">Same WACC used in EPV and IRR sections</t>
  </si>
  <si>
    <t xml:space="preserve">Summary → EPV per share link</t>
  </si>
  <si>
    <t xml:space="preserve">✓ $158.90/sh</t>
  </si>
  <si>
    <t xml:space="preserve">Summary epv_su ← EPV epv_share_row</t>
  </si>
  <si>
    <t xml:space="preserve">Implied IRR → Summary MoS consistency</t>
  </si>
  <si>
    <t xml:space="preserve">✓ MoS = 13.8%</t>
  </si>
  <si>
    <t xml:space="preserve">Both reference same mos_irr cell</t>
  </si>
  <si>
    <t xml:space="preserve">LAYER D: WACC VERIFICATION</t>
  </si>
  <si>
    <t xml:space="preserve">Ke = Rf + β×ERP</t>
  </si>
  <si>
    <t xml:space="preserve">✓ 0.0907 = 9.07%</t>
  </si>
  <si>
    <t xml:space="preserve">Kd post-tax = Kd × (1−t)</t>
  </si>
  <si>
    <t xml:space="preserve">✓ 0.0394 = 3.94%</t>
  </si>
  <si>
    <t xml:space="preserve">WACC = Ke×0.986 + Kd_post×0.014</t>
  </si>
  <si>
    <t xml:space="preserve">D/V = 1.4% (MSFT near debt-free relative to EV)</t>
  </si>
  <si>
    <t xml:space="preserve">Total Debt $43.2B / EV $3.13T = 1.4%</t>
  </si>
  <si>
    <t xml:space="preserve">LAYER E: BALANCE SHEET BALANCE CHECK</t>
  </si>
  <si>
    <t xml:space="preserve">FY2025: Total Assets = Total Liabilities + Equity</t>
  </si>
  <si>
    <t xml:space="preserve">✓ Diff=$0M</t>
  </si>
  <si>
    <t xml:space="preserve">Assets $619,003M = Liab $275,524M + Eq $343,479M</t>
  </si>
  <si>
    <t xml:space="preserve">FY2024: Total Assets = Total Liabilities + Equity</t>
  </si>
  <si>
    <t xml:space="preserve">Assets $512,163M = Liab $243,686M + Eq $268,477M</t>
  </si>
  <si>
    <t xml:space="preserve">BS Check row formula: =Total_Liab + Total_Equity</t>
  </si>
  <si>
    <t xml:space="preserve">✓ Formula in BS check_row</t>
  </si>
  <si>
    <t xml:space="preserve">LAYER F: DECISION POINT CONSISTENCY</t>
  </si>
  <si>
    <t xml:space="preserve">DP3 S&amp;M Life = 5yr</t>
  </si>
  <si>
    <t xml:space="preserve">6. S&amp;M Cap PARÁMETROS: 5 = SM_LIFE_V</t>
  </si>
  <si>
    <t xml:space="preserve">DP4 R&amp;D Life = 6yr</t>
  </si>
  <si>
    <t xml:space="preserve">7. R&amp;D Cap PARÁMETROS: 6 = RD_LIFE_V</t>
  </si>
  <si>
    <t xml:space="preserve">DP8 Tax Rate = 18.0%</t>
  </si>
  <si>
    <t xml:space="preserve">9. NOPAT tax_norm_row = 0.18; EPV references NOPAT</t>
  </si>
  <si>
    <t xml:space="preserve">DP10 Excess Cash = $89B</t>
  </si>
  <si>
    <t xml:space="preserve">10. EPV exc_epv = 89000</t>
  </si>
  <si>
    <t xml:space="preserve">DP11 WACC = 9.0%</t>
  </si>
  <si>
    <t xml:space="preserve">10. EPV wacc_epv_row formula = 9.0%</t>
  </si>
  <si>
    <t xml:space="preserve">DP12 Goodwill RV = 0%</t>
  </si>
  <si>
    <t xml:space="preserve">8. RV Goodwill row = 0% → $0M reproduction</t>
  </si>
  <si>
    <t xml:space="preserve">DP13 Intangibles RV = 70%</t>
  </si>
  <si>
    <t xml:space="preserve">8. RV INTANGV[-1] × 0.70</t>
  </si>
  <si>
    <t xml:space="preserve">DP14 DTA RV = 50%</t>
  </si>
  <si>
    <t xml:space="preserve">8. RV dta_est × 0.50</t>
  </si>
  <si>
    <t xml:space="preserve">DP15 Exit Multiple = 28x</t>
  </si>
  <si>
    <t xml:space="preserve">12. Implied IRR exit_mult_irr = 28</t>
  </si>
  <si>
    <t xml:space="preserve">DP16 Buybacks = $17.7B</t>
  </si>
  <si>
    <t xml:space="preserve">12. Implied IRR byb_irr = 17700</t>
  </si>
  <si>
    <t xml:space="preserve">DP17 Crecim. Orgánico = 2%</t>
  </si>
  <si>
    <t xml:space="preserve">12. Implied IRR corg_irr = 0.02</t>
  </si>
  <si>
    <t xml:space="preserve">Model built by DCE Holdings Columbia Framework v4.1 | MSFT | 05-May-2026 | 0 formula errors validated</t>
  </si>
  <si>
    <t xml:space="preserve">LAYER G: ROLLING UPDATE LOG — LTM_2026Q3</t>
  </si>
  <si>
    <t xml:space="preserve">ROLLING WINDOW SHIFT</t>
  </si>
  <si>
    <t xml:space="preserve">Período eliminado</t>
  </si>
  <si>
    <t xml:space="preserve">Período nuevo (col H)</t>
  </si>
  <si>
    <t xml:space="preserve">Ventana actual</t>
  </si>
  <si>
    <t xml:space="preserve">FY2021 → FY2022 → FY2023 → FY2024 → FY2025 → LTM_2026Q3</t>
  </si>
  <si>
    <t xml:space="preserve">TENDENCY FLAGS (Δ&gt;25%)</t>
  </si>
  <si>
    <t xml:space="preserve">Métrica</t>
  </si>
  <si>
    <t xml:space="preserve">Anterior</t>
  </si>
  <si>
    <t xml:space="preserve">Δ%</t>
  </si>
  <si>
    <t xml:space="preserve">Buybacks</t>
  </si>
  <si>
    <t xml:space="preserve">NOPAT RECALIBRATION</t>
  </si>
  <si>
    <t xml:space="preserve">Revenue Base recalibrated: $281,724M → $318,273M</t>
  </si>
  <si>
    <t xml:space="preserve">Período inicio</t>
  </si>
  <si>
    <t xml:space="preserve">2025-06-30</t>
  </si>
  <si>
    <t xml:space="preserve">Período fin</t>
  </si>
  <si>
    <t xml:space="preserve">2026-03-31</t>
  </si>
  <si>
    <t xml:space="preserve">Source</t>
  </si>
  <si>
    <t xml:space="preserve">ROIC.ai (paid tier) | quarterly aggregate</t>
  </si>
  <si>
    <t xml:space="preserve">Skill</t>
  </si>
  <si>
    <t xml:space="preserve">columbia-update-incremental v1.0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</si>
</sst>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"/>
    <numFmt numFmtId="167" formatCode="0.0%"/>
    <numFmt numFmtId="168" formatCode="0.0\x"/>
    <numFmt numFmtId="169" formatCode="#,##0;\(#,##0\);\-"/>
    <numFmt numFmtId="170" formatCode="#,##0.00"/>
    <numFmt numFmtId="171" formatCode="0.00"/>
    <numFmt numFmtId="172" formatCode="0.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642"/>
      <name val="Calibri"/>
      <family val="0"/>
      <charset val="1"/>
    </font>
    <font>
      <b val="true"/>
      <sz val="11"/>
      <color rgb="FFB88B4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i val="true"/>
      <sz val="8"/>
      <color rgb="FF606060"/>
      <name val="Calibri"/>
      <family val="0"/>
      <charset val="1"/>
    </font>
    <font>
      <b val="true"/>
      <sz val="12"/>
      <color rgb="FF1B2642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0"/>
      <name val="Arial"/>
      <family val="2"/>
    </font>
    <font>
      <sz val="10"/>
      <color rgb="FF008000"/>
      <name val="Calibri"/>
      <family val="0"/>
      <charset val="1"/>
    </font>
    <font>
      <sz val="10"/>
      <color rgb="FFB88B47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color rgb="FFC0392B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642"/>
        <bgColor rgb="FF003366"/>
      </patternFill>
    </fill>
    <fill>
      <patternFill patternType="solid">
        <fgColor rgb="FFB88B47"/>
        <bgColor rgb="FF808000"/>
      </patternFill>
    </fill>
    <fill>
      <patternFill patternType="solid">
        <fgColor rgb="FFBDD7EE"/>
        <bgColor rgb="FFD6DCE4"/>
      </patternFill>
    </fill>
    <fill>
      <patternFill patternType="solid">
        <fgColor rgb="FFD6DCE4"/>
        <bgColor rgb="FFE6E6E6"/>
      </patternFill>
    </fill>
    <fill>
      <patternFill patternType="solid">
        <fgColor rgb="FFE6E6E6"/>
        <bgColor rgb="FFE2EFDA"/>
      </patternFill>
    </fill>
    <fill>
      <patternFill patternType="solid">
        <fgColor rgb="FFE2EFDA"/>
        <bgColor rgb="FFE6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C7D2"/>
      </bottom>
      <diagonal/>
    </border>
    <border diagonalUp="false" diagonalDown="false">
      <left/>
      <right/>
      <top style="thin">
        <color rgb="FF1B2642"/>
      </top>
      <bottom style="double">
        <color rgb="FF1B264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9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7D2"/>
      <rgbColor rgb="FF606060"/>
      <rgbColor rgb="FF9999FF"/>
      <rgbColor rgb="FFC0392B"/>
      <rgbColor rgb="FFE6E6E6"/>
      <rgbColor rgb="FFD6DCE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B88B47"/>
      <rgbColor rgb="FF003366"/>
      <rgbColor rgb="FF339966"/>
      <rgbColor rgb="FF003300"/>
      <rgbColor rgb="FF375623"/>
      <rgbColor rgb="FF833C00"/>
      <rgbColor rgb="FF7030A0"/>
      <rgbColor rgb="FF595959"/>
      <rgbColor rgb="FF1B26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642"/>
    <pageSetUpPr fitToPage="false"/>
  </sheetPr>
  <dimension ref="B1:E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22"/>
  </cols>
  <sheetData>
    <row r="1" customFormat="false" ht="4.5" hidden="false" customHeight="true" outlineLevel="0" collapsed="false">
      <c r="B1" s="1"/>
      <c r="C1" s="1"/>
      <c r="D1" s="1"/>
      <c r="E1" s="1"/>
    </row>
    <row r="2" customFormat="false" ht="17.35" hidden="false" customHeight="false" outlineLevel="0" collapsed="false">
      <c r="B2" s="2" t="s">
        <v>0</v>
      </c>
      <c r="C2" s="2"/>
      <c r="D2" s="2"/>
      <c r="E2" s="2"/>
    </row>
    <row r="3" customFormat="false" ht="15" hidden="false" customHeight="false" outlineLevel="0" collapsed="false">
      <c r="B3" s="3" t="s">
        <v>1</v>
      </c>
      <c r="C3" s="3"/>
      <c r="D3" s="3"/>
      <c r="E3" s="3"/>
    </row>
    <row r="4" customFormat="false" ht="4.5" hidden="false" customHeight="true" outlineLevel="0" collapsed="false">
      <c r="B4" s="4"/>
      <c r="C4" s="4"/>
      <c r="D4" s="4"/>
      <c r="E4" s="4"/>
    </row>
    <row r="6" customFormat="false" ht="15.75" hidden="false" customHeight="true" outlineLevel="0" collapsed="false">
      <c r="B6" s="5" t="s">
        <v>2</v>
      </c>
      <c r="C6" s="5"/>
      <c r="D6" s="5"/>
      <c r="E6" s="5"/>
    </row>
    <row r="7" customFormat="false" ht="15" hidden="false" customHeight="false" outlineLevel="0" collapsed="false">
      <c r="B7" s="6" t="s">
        <v>3</v>
      </c>
      <c r="C7" s="7" t="s">
        <v>4</v>
      </c>
      <c r="D7" s="7"/>
      <c r="E7" s="7"/>
    </row>
    <row r="8" customFormat="false" ht="15" hidden="false" customHeight="false" outlineLevel="0" collapsed="false">
      <c r="B8" s="6" t="s">
        <v>5</v>
      </c>
      <c r="C8" s="7" t="s">
        <v>6</v>
      </c>
      <c r="D8" s="7"/>
      <c r="E8" s="7"/>
    </row>
    <row r="9" customFormat="false" ht="15" hidden="false" customHeight="false" outlineLevel="0" collapsed="false">
      <c r="B9" s="6" t="s">
        <v>7</v>
      </c>
      <c r="C9" s="7" t="s">
        <v>8</v>
      </c>
      <c r="D9" s="7"/>
      <c r="E9" s="7"/>
    </row>
    <row r="10" customFormat="false" ht="15" hidden="false" customHeight="false" outlineLevel="0" collapsed="false">
      <c r="B10" s="6" t="s">
        <v>9</v>
      </c>
      <c r="C10" s="7" t="s">
        <v>10</v>
      </c>
      <c r="D10" s="7"/>
      <c r="E10" s="7"/>
    </row>
    <row r="11" customFormat="false" ht="15" hidden="false" customHeight="false" outlineLevel="0" collapsed="false">
      <c r="B11" s="6" t="s">
        <v>11</v>
      </c>
      <c r="C11" s="7" t="s">
        <v>12</v>
      </c>
      <c r="D11" s="7"/>
      <c r="E11" s="7"/>
    </row>
    <row r="12" customFormat="false" ht="15" hidden="false" customHeight="false" outlineLevel="0" collapsed="false">
      <c r="B12" s="6" t="s">
        <v>13</v>
      </c>
      <c r="C12" s="7" t="s">
        <v>14</v>
      </c>
      <c r="D12" s="7"/>
      <c r="E12" s="7"/>
    </row>
    <row r="13" customFormat="false" ht="15" hidden="false" customHeight="false" outlineLevel="0" collapsed="false">
      <c r="B13" s="6" t="s">
        <v>15</v>
      </c>
      <c r="C13" s="7" t="s">
        <v>16</v>
      </c>
      <c r="D13" s="7"/>
      <c r="E13" s="7"/>
    </row>
    <row r="14" customFormat="false" ht="15" hidden="false" customHeight="false" outlineLevel="0" collapsed="false">
      <c r="B14" s="6" t="s">
        <v>17</v>
      </c>
      <c r="C14" s="7" t="s">
        <v>18</v>
      </c>
      <c r="D14" s="7"/>
      <c r="E14" s="7"/>
    </row>
    <row r="15" customFormat="false" ht="15" hidden="false" customHeight="false" outlineLevel="0" collapsed="false">
      <c r="B15" s="6" t="s">
        <v>19</v>
      </c>
      <c r="C15" s="7" t="s">
        <v>20</v>
      </c>
      <c r="D15" s="7"/>
      <c r="E15" s="7"/>
    </row>
    <row r="17" customFormat="false" ht="15.75" hidden="false" customHeight="true" outlineLevel="0" collapsed="false">
      <c r="B17" s="5" t="s">
        <v>21</v>
      </c>
      <c r="C17" s="5"/>
      <c r="D17" s="5"/>
      <c r="E17" s="5"/>
    </row>
    <row r="18" customFormat="false" ht="15" hidden="false" customHeight="false" outlineLevel="0" collapsed="false">
      <c r="B18" s="6" t="s">
        <v>22</v>
      </c>
      <c r="C18" s="8" t="n">
        <v>414.44</v>
      </c>
      <c r="D18" s="9" t="s">
        <v>23</v>
      </c>
    </row>
    <row r="19" customFormat="false" ht="15" hidden="false" customHeight="false" outlineLevel="0" collapsed="false">
      <c r="B19" s="6" t="s">
        <v>24</v>
      </c>
      <c r="C19" s="10" t="n">
        <v>7445</v>
      </c>
      <c r="D19" s="9" t="s">
        <v>25</v>
      </c>
    </row>
    <row r="20" customFormat="false" ht="15" hidden="false" customHeight="false" outlineLevel="0" collapsed="false">
      <c r="B20" s="6" t="s">
        <v>26</v>
      </c>
      <c r="C20" s="11" t="n">
        <f aca="false">C18*C19</f>
        <v>3085505.8</v>
      </c>
    </row>
    <row r="21" customFormat="false" ht="15" hidden="false" customHeight="false" outlineLevel="0" collapsed="false">
      <c r="B21" s="6" t="s">
        <v>27</v>
      </c>
      <c r="C21" s="10" t="n">
        <v>56965</v>
      </c>
      <c r="D21" s="9" t="s">
        <v>28</v>
      </c>
    </row>
    <row r="22" customFormat="false" ht="15" hidden="false" customHeight="false" outlineLevel="0" collapsed="false">
      <c r="B22" s="6" t="s">
        <v>29</v>
      </c>
      <c r="C22" s="10" t="n">
        <v>17437</v>
      </c>
      <c r="D22" s="9" t="s">
        <v>30</v>
      </c>
    </row>
    <row r="23" customFormat="false" ht="15" hidden="false" customHeight="false" outlineLevel="0" collapsed="false">
      <c r="B23" s="6" t="s">
        <v>31</v>
      </c>
      <c r="C23" s="10" t="n">
        <v>78228</v>
      </c>
      <c r="D23" s="9" t="s">
        <v>32</v>
      </c>
    </row>
    <row r="24" customFormat="false" ht="15" hidden="false" customHeight="false" outlineLevel="0" collapsed="false">
      <c r="B24" s="6" t="s">
        <v>33</v>
      </c>
      <c r="C24" s="11" t="n">
        <f aca="false">C20+C21+C22-C23</f>
        <v>3081679.8</v>
      </c>
    </row>
    <row r="26" customFormat="false" ht="15.75" hidden="false" customHeight="true" outlineLevel="0" collapsed="false">
      <c r="B26" s="5" t="s">
        <v>34</v>
      </c>
      <c r="C26" s="5"/>
      <c r="D26" s="5"/>
      <c r="E26" s="5"/>
    </row>
    <row r="27" customFormat="false" ht="15" hidden="false" customHeight="false" outlineLevel="0" collapsed="false">
      <c r="B27" s="6" t="s">
        <v>35</v>
      </c>
      <c r="C27" s="11" t="n">
        <v>318273</v>
      </c>
    </row>
    <row r="28" customFormat="false" ht="15" hidden="false" customHeight="false" outlineLevel="0" collapsed="false">
      <c r="B28" s="6" t="s">
        <v>36</v>
      </c>
      <c r="C28" s="11" t="n">
        <v>148957</v>
      </c>
    </row>
    <row r="29" customFormat="false" ht="15" hidden="false" customHeight="false" outlineLevel="0" collapsed="false">
      <c r="B29" s="6" t="s">
        <v>37</v>
      </c>
      <c r="C29" s="12" t="n">
        <v>0.468016451285532</v>
      </c>
    </row>
    <row r="30" customFormat="false" ht="15" hidden="false" customHeight="false" outlineLevel="0" collapsed="false">
      <c r="B30" s="6" t="s">
        <v>38</v>
      </c>
      <c r="C30" s="11" t="n">
        <v>192586</v>
      </c>
    </row>
    <row r="31" customFormat="false" ht="15" hidden="false" customHeight="false" outlineLevel="0" collapsed="false">
      <c r="B31" s="6" t="s">
        <v>39</v>
      </c>
      <c r="C31" s="11" t="n">
        <v>125216</v>
      </c>
    </row>
    <row r="32" customFormat="false" ht="15" hidden="false" customHeight="false" outlineLevel="0" collapsed="false">
      <c r="B32" s="6" t="s">
        <v>40</v>
      </c>
      <c r="C32" s="13" t="n">
        <v>16.7900907220094</v>
      </c>
    </row>
    <row r="33" customFormat="false" ht="15" hidden="false" customHeight="false" outlineLevel="0" collapsed="false">
      <c r="B33" s="6" t="s">
        <v>41</v>
      </c>
      <c r="C33" s="11" t="n">
        <v>72916</v>
      </c>
    </row>
    <row r="34" customFormat="false" ht="15" hidden="false" customHeight="false" outlineLevel="0" collapsed="false">
      <c r="B34" s="6" t="s">
        <v>42</v>
      </c>
      <c r="C34" s="12" t="n">
        <v>0.229098918224292</v>
      </c>
    </row>
    <row r="35" customFormat="false" ht="15" hidden="false" customHeight="false" outlineLevel="0" collapsed="false">
      <c r="B35" s="6" t="s">
        <v>43</v>
      </c>
      <c r="C35" s="11" t="n">
        <v>43629</v>
      </c>
    </row>
    <row r="36" customFormat="false" ht="15" hidden="false" customHeight="false" outlineLevel="0" collapsed="false">
      <c r="B36" s="6" t="s">
        <v>44</v>
      </c>
      <c r="C36" s="11" t="n">
        <v>12356</v>
      </c>
    </row>
    <row r="37" customFormat="false" ht="15" hidden="false" customHeight="false" outlineLevel="0" collapsed="false">
      <c r="B37" s="6" t="s">
        <v>45</v>
      </c>
      <c r="C37" s="11" t="n">
        <v>97225</v>
      </c>
    </row>
    <row r="39" customFormat="false" ht="15.75" hidden="false" customHeight="true" outlineLevel="0" collapsed="false">
      <c r="B39" s="5" t="s">
        <v>46</v>
      </c>
      <c r="C39" s="5"/>
      <c r="D39" s="5"/>
      <c r="E39" s="5"/>
    </row>
    <row r="40" customFormat="false" ht="15" hidden="false" customHeight="false" outlineLevel="0" collapsed="false">
      <c r="B40" s="6" t="s">
        <v>47</v>
      </c>
      <c r="C40" s="14" t="n">
        <v>30.377289653547</v>
      </c>
    </row>
    <row r="41" customFormat="false" ht="15" hidden="false" customHeight="false" outlineLevel="0" collapsed="false">
      <c r="B41" s="6" t="s">
        <v>48</v>
      </c>
      <c r="C41" s="14" t="n">
        <v>18.8061482287421</v>
      </c>
    </row>
    <row r="42" customFormat="false" ht="15" hidden="false" customHeight="false" outlineLevel="0" collapsed="false">
      <c r="B42" s="6" t="s">
        <v>49</v>
      </c>
      <c r="C42" s="14" t="n">
        <v>10.8595753290455</v>
      </c>
    </row>
    <row r="43" customFormat="false" ht="15" hidden="false" customHeight="false" outlineLevel="0" collapsed="false">
      <c r="B43" s="6" t="s">
        <v>50</v>
      </c>
      <c r="C43" s="14" t="n">
        <v>43.1969971093826</v>
      </c>
    </row>
    <row r="44" customFormat="false" ht="15" hidden="false" customHeight="false" outlineLevel="0" collapsed="false">
      <c r="B44" s="6" t="s">
        <v>51</v>
      </c>
      <c r="C44" s="14" t="n">
        <v>9.00602412374556</v>
      </c>
    </row>
    <row r="45" customFormat="false" ht="15" hidden="false" customHeight="false" outlineLevel="0" collapsed="false">
      <c r="B45" s="6" t="s">
        <v>52</v>
      </c>
      <c r="C45" s="12" t="n">
        <v>0.0072218734343987</v>
      </c>
    </row>
    <row r="46" customFormat="false" ht="15" hidden="false" customHeight="false" outlineLevel="0" collapsed="false">
      <c r="B46" s="6" t="s">
        <v>53</v>
      </c>
      <c r="C46" s="12" t="n">
        <v>0.149321562324067</v>
      </c>
    </row>
    <row r="47" customFormat="false" ht="15" hidden="false" customHeight="false" outlineLevel="0" collapsed="false">
      <c r="B47" s="6" t="s">
        <v>54</v>
      </c>
      <c r="C47" s="12" t="n">
        <v>0.235051624658366</v>
      </c>
    </row>
    <row r="48" customFormat="false" ht="15" hidden="false" customHeight="false" outlineLevel="0" collapsed="false">
      <c r="B48" s="6" t="s">
        <v>55</v>
      </c>
      <c r="C48" s="12" t="n">
        <v>-0.0332113782721983</v>
      </c>
    </row>
    <row r="50" customFormat="false" ht="15.75" hidden="false" customHeight="true" outlineLevel="0" collapsed="false">
      <c r="B50" s="5" t="s">
        <v>56</v>
      </c>
      <c r="C50" s="5"/>
      <c r="D50" s="5"/>
      <c r="E50" s="5"/>
    </row>
    <row r="51" customFormat="false" ht="15" hidden="false" customHeight="false" outlineLevel="0" collapsed="false">
      <c r="B51" s="15" t="s">
        <v>57</v>
      </c>
      <c r="C51" s="6" t="s">
        <v>58</v>
      </c>
    </row>
    <row r="52" customFormat="false" ht="15" hidden="false" customHeight="false" outlineLevel="0" collapsed="false">
      <c r="B52" s="15" t="s">
        <v>59</v>
      </c>
      <c r="C52" s="6" t="s">
        <v>60</v>
      </c>
    </row>
    <row r="53" customFormat="false" ht="15" hidden="false" customHeight="false" outlineLevel="0" collapsed="false">
      <c r="B53" s="15" t="s">
        <v>61</v>
      </c>
      <c r="C53" s="6" t="s">
        <v>62</v>
      </c>
    </row>
    <row r="54" customFormat="false" ht="15" hidden="false" customHeight="false" outlineLevel="0" collapsed="false">
      <c r="B54" s="15" t="s">
        <v>63</v>
      </c>
      <c r="C54" s="6" t="s">
        <v>64</v>
      </c>
    </row>
    <row r="55" customFormat="false" ht="15" hidden="false" customHeight="false" outlineLevel="0" collapsed="false">
      <c r="B55" s="15" t="s">
        <v>65</v>
      </c>
      <c r="C55" s="6" t="s">
        <v>66</v>
      </c>
    </row>
    <row r="56" customFormat="false" ht="15" hidden="false" customHeight="false" outlineLevel="0" collapsed="false">
      <c r="B56" s="15" t="s">
        <v>67</v>
      </c>
      <c r="C56" s="6" t="s">
        <v>68</v>
      </c>
    </row>
    <row r="57" customFormat="false" ht="15" hidden="false" customHeight="false" outlineLevel="0" collapsed="false">
      <c r="B57" s="15" t="s">
        <v>69</v>
      </c>
      <c r="C57" s="6" t="s">
        <v>70</v>
      </c>
    </row>
    <row r="58" customFormat="false" ht="15" hidden="false" customHeight="false" outlineLevel="0" collapsed="false">
      <c r="B58" s="15" t="s">
        <v>71</v>
      </c>
      <c r="C58" s="6" t="s">
        <v>72</v>
      </c>
    </row>
    <row r="59" customFormat="false" ht="15" hidden="false" customHeight="false" outlineLevel="0" collapsed="false">
      <c r="B59" s="15" t="s">
        <v>73</v>
      </c>
      <c r="C59" s="6" t="s">
        <v>74</v>
      </c>
    </row>
    <row r="60" customFormat="false" ht="15" hidden="false" customHeight="false" outlineLevel="0" collapsed="false">
      <c r="B60" s="15" t="s">
        <v>75</v>
      </c>
      <c r="C60" s="6" t="s">
        <v>76</v>
      </c>
    </row>
    <row r="61" customFormat="false" ht="15" hidden="false" customHeight="false" outlineLevel="0" collapsed="false">
      <c r="B61" s="15" t="s">
        <v>77</v>
      </c>
      <c r="C61" s="6" t="s">
        <v>78</v>
      </c>
    </row>
    <row r="62" customFormat="false" ht="15" hidden="false" customHeight="false" outlineLevel="0" collapsed="false">
      <c r="B62" s="15" t="s">
        <v>79</v>
      </c>
      <c r="C62" s="6" t="s">
        <v>80</v>
      </c>
    </row>
    <row r="63" customFormat="false" ht="15" hidden="false" customHeight="false" outlineLevel="0" collapsed="false">
      <c r="B63" s="15" t="s">
        <v>81</v>
      </c>
      <c r="C63" s="6" t="s">
        <v>82</v>
      </c>
    </row>
    <row r="64" customFormat="false" ht="15" hidden="false" customHeight="false" outlineLevel="0" collapsed="false">
      <c r="B64" s="15" t="s">
        <v>83</v>
      </c>
      <c r="C64" s="6" t="s">
        <v>84</v>
      </c>
    </row>
    <row r="65" customFormat="false" ht="15" hidden="false" customHeight="false" outlineLevel="0" collapsed="false">
      <c r="B65" s="16" t="s">
        <v>85</v>
      </c>
      <c r="C65" s="16"/>
      <c r="D65" s="16"/>
      <c r="E65" s="16"/>
    </row>
  </sheetData>
  <mergeCells count="19">
    <mergeCell ref="B1:E1"/>
    <mergeCell ref="B2:E2"/>
    <mergeCell ref="B3:E3"/>
    <mergeCell ref="B4:E4"/>
    <mergeCell ref="B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B17:E17"/>
    <mergeCell ref="B26:E26"/>
    <mergeCell ref="B39:E39"/>
    <mergeCell ref="B50:E50"/>
    <mergeCell ref="B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2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8" min="3" style="0" width="14"/>
  </cols>
  <sheetData>
    <row r="2" customFormat="false" ht="15" hidden="false" customHeight="false" outlineLevel="0" collapsed="false">
      <c r="B2" s="17" t="s">
        <v>86</v>
      </c>
      <c r="C2" s="17"/>
      <c r="D2" s="17"/>
      <c r="E2" s="17"/>
      <c r="F2" s="17"/>
      <c r="G2" s="17"/>
      <c r="H2" s="17"/>
    </row>
    <row r="3" customFormat="false" ht="15" hidden="false" customHeight="false" outlineLevel="0" collapsed="false">
      <c r="C3" s="18" t="s">
        <v>87</v>
      </c>
      <c r="D3" s="18"/>
      <c r="E3" s="18"/>
      <c r="F3" s="18"/>
      <c r="G3" s="18"/>
      <c r="H3" s="18"/>
    </row>
    <row r="4" customFormat="false" ht="15.75" hidden="false" customHeight="true" outlineLevel="0" collapsed="false">
      <c r="B4" s="19" t="s">
        <v>88</v>
      </c>
      <c r="C4" s="19" t="s">
        <v>89</v>
      </c>
      <c r="D4" s="19" t="s">
        <v>90</v>
      </c>
      <c r="E4" s="19" t="s">
        <v>91</v>
      </c>
      <c r="F4" s="19" t="s">
        <v>92</v>
      </c>
      <c r="G4" s="19" t="s">
        <v>93</v>
      </c>
      <c r="H4" s="19" t="s">
        <v>94</v>
      </c>
    </row>
    <row r="5" customFormat="false" ht="15" hidden="false" customHeight="true" outlineLevel="0" collapsed="false">
      <c r="B5" s="20" t="s">
        <v>95</v>
      </c>
      <c r="C5" s="21" t="n">
        <v>168088</v>
      </c>
      <c r="D5" s="21" t="n">
        <v>198270</v>
      </c>
      <c r="E5" s="21" t="n">
        <v>211915</v>
      </c>
      <c r="F5" s="21" t="n">
        <v>245122</v>
      </c>
      <c r="G5" s="21" t="n">
        <v>281724</v>
      </c>
      <c r="H5" s="22" t="n">
        <v>318273</v>
      </c>
    </row>
    <row r="6" customFormat="false" ht="15" hidden="false" customHeight="true" outlineLevel="0" collapsed="false">
      <c r="B6" s="23" t="s">
        <v>96</v>
      </c>
      <c r="C6" s="24" t="n">
        <v>52232</v>
      </c>
      <c r="D6" s="24" t="n">
        <v>62650</v>
      </c>
      <c r="E6" s="24" t="n">
        <v>65711</v>
      </c>
      <c r="F6" s="24" t="n">
        <v>74114</v>
      </c>
      <c r="G6" s="24" t="n">
        <v>87831</v>
      </c>
      <c r="H6" s="25" t="n">
        <v>100863</v>
      </c>
    </row>
    <row r="7" customFormat="false" ht="15" hidden="false" customHeight="true" outlineLevel="0" collapsed="false">
      <c r="B7" s="20" t="s">
        <v>97</v>
      </c>
      <c r="C7" s="26" t="n">
        <f aca="false">C5-C6</f>
        <v>115856</v>
      </c>
      <c r="D7" s="26" t="n">
        <f aca="false">D5-D6</f>
        <v>135620</v>
      </c>
      <c r="E7" s="26" t="n">
        <f aca="false">E5-E6</f>
        <v>146204</v>
      </c>
      <c r="F7" s="26" t="n">
        <f aca="false">F5-F6</f>
        <v>171008</v>
      </c>
      <c r="G7" s="26" t="n">
        <f aca="false">G5-G6</f>
        <v>193893</v>
      </c>
      <c r="H7" s="27" t="n">
        <f aca="false">H5-H6</f>
        <v>217410</v>
      </c>
    </row>
    <row r="9" customFormat="false" ht="15" hidden="false" customHeight="false" outlineLevel="0" collapsed="false">
      <c r="B9" s="28" t="s">
        <v>98</v>
      </c>
    </row>
    <row r="10" customFormat="false" ht="15" hidden="false" customHeight="true" outlineLevel="0" collapsed="false">
      <c r="B10" s="23" t="s">
        <v>99</v>
      </c>
      <c r="C10" s="24" t="n">
        <v>20716</v>
      </c>
      <c r="D10" s="24" t="n">
        <v>24512</v>
      </c>
      <c r="E10" s="24" t="n">
        <v>27195</v>
      </c>
      <c r="F10" s="24" t="n">
        <v>29510</v>
      </c>
      <c r="G10" s="24" t="n">
        <v>32704</v>
      </c>
      <c r="H10" s="25" t="n">
        <v>34394</v>
      </c>
    </row>
    <row r="11" customFormat="false" ht="15" hidden="false" customHeight="true" outlineLevel="0" collapsed="false">
      <c r="B11" s="29" t="s">
        <v>100</v>
      </c>
      <c r="C11" s="30" t="n">
        <v>20117</v>
      </c>
      <c r="D11" s="30" t="n">
        <v>21825</v>
      </c>
      <c r="E11" s="30" t="n">
        <v>22759</v>
      </c>
      <c r="F11" s="30" t="n">
        <v>24456</v>
      </c>
      <c r="G11" s="30" t="n">
        <v>25798</v>
      </c>
      <c r="H11" s="31" t="n">
        <v>26573.5394525934</v>
      </c>
    </row>
    <row r="12" customFormat="false" ht="15" hidden="false" customHeight="true" outlineLevel="0" collapsed="false">
      <c r="B12" s="23" t="s">
        <v>101</v>
      </c>
      <c r="C12" s="24" t="n">
        <v>5107</v>
      </c>
      <c r="D12" s="24" t="n">
        <v>5900</v>
      </c>
      <c r="E12" s="24" t="n">
        <v>7575</v>
      </c>
      <c r="F12" s="24" t="n">
        <v>7609</v>
      </c>
      <c r="G12" s="24" t="n">
        <v>7267</v>
      </c>
      <c r="H12" s="25" t="n">
        <v>7485.46054740662</v>
      </c>
    </row>
    <row r="13" customFormat="false" ht="15" hidden="false" customHeight="true" outlineLevel="0" collapsed="false">
      <c r="B13" s="32" t="s">
        <v>102</v>
      </c>
      <c r="C13" s="33" t="n">
        <f aca="false">C10+C11+C12</f>
        <v>45940</v>
      </c>
      <c r="D13" s="33" t="n">
        <f aca="false">D10+D11+D12</f>
        <v>52237</v>
      </c>
      <c r="E13" s="33" t="n">
        <f aca="false">E10+E11+E12</f>
        <v>57529</v>
      </c>
      <c r="F13" s="33" t="n">
        <f aca="false">F10+F11+F12</f>
        <v>61575</v>
      </c>
      <c r="G13" s="33" t="n">
        <f aca="false">G10+G11+G12</f>
        <v>65769</v>
      </c>
      <c r="H13" s="34" t="n">
        <f aca="false">H10+H11+H12</f>
        <v>68453</v>
      </c>
    </row>
    <row r="14" customFormat="false" ht="15" hidden="false" customHeight="true" outlineLevel="0" collapsed="false">
      <c r="B14" s="20" t="s">
        <v>103</v>
      </c>
      <c r="C14" s="21" t="n">
        <v>69916</v>
      </c>
      <c r="D14" s="21" t="n">
        <v>83383</v>
      </c>
      <c r="E14" s="21" t="n">
        <v>88523</v>
      </c>
      <c r="F14" s="21" t="n">
        <v>109433</v>
      </c>
      <c r="G14" s="21" t="n">
        <v>128528</v>
      </c>
      <c r="H14" s="22" t="n">
        <v>148957</v>
      </c>
    </row>
    <row r="15" customFormat="false" ht="15" hidden="false" customHeight="true" outlineLevel="0" collapsed="false">
      <c r="B15" s="29" t="s">
        <v>104</v>
      </c>
      <c r="C15" s="30" t="n">
        <v>-2346</v>
      </c>
      <c r="D15" s="30" t="n">
        <v>-2063</v>
      </c>
      <c r="E15" s="30" t="n">
        <v>-1885</v>
      </c>
      <c r="F15" s="30" t="n">
        <v>-1564</v>
      </c>
      <c r="G15" s="30" t="n">
        <v>-1413</v>
      </c>
      <c r="H15" s="31" t="n">
        <v>2827</v>
      </c>
    </row>
    <row r="16" customFormat="false" ht="15" hidden="false" customHeight="true" outlineLevel="0" collapsed="false">
      <c r="B16" s="23" t="s">
        <v>105</v>
      </c>
      <c r="C16" s="24" t="n">
        <v>3332</v>
      </c>
      <c r="D16" s="24" t="n">
        <v>2396</v>
      </c>
      <c r="E16" s="24" t="n">
        <v>1073</v>
      </c>
      <c r="F16" s="24" t="n">
        <v>-2210</v>
      </c>
      <c r="G16" s="24" t="n">
        <v>-3488</v>
      </c>
      <c r="H16" s="25" t="n">
        <v>-5058</v>
      </c>
    </row>
    <row r="17" customFormat="false" ht="15" hidden="false" customHeight="true" outlineLevel="0" collapsed="false">
      <c r="B17" s="28" t="s">
        <v>106</v>
      </c>
      <c r="C17" s="24" t="n">
        <v>71102</v>
      </c>
      <c r="D17" s="24" t="n">
        <v>83716</v>
      </c>
      <c r="E17" s="24" t="n">
        <v>89311</v>
      </c>
      <c r="F17" s="24" t="n">
        <v>107787</v>
      </c>
      <c r="G17" s="24" t="n">
        <v>123627</v>
      </c>
      <c r="H17" s="25" t="n">
        <v>154503</v>
      </c>
    </row>
    <row r="18" customFormat="false" ht="15" hidden="false" customHeight="true" outlineLevel="0" collapsed="false">
      <c r="B18" s="29" t="s">
        <v>107</v>
      </c>
      <c r="C18" s="30" t="n">
        <v>9831</v>
      </c>
      <c r="D18" s="30" t="n">
        <v>10978</v>
      </c>
      <c r="E18" s="30" t="n">
        <v>16950</v>
      </c>
      <c r="F18" s="30" t="n">
        <v>19651</v>
      </c>
      <c r="G18" s="30" t="n">
        <v>21795</v>
      </c>
      <c r="H18" s="31" t="n">
        <v>29287</v>
      </c>
    </row>
    <row r="19" customFormat="false" ht="15" hidden="false" customHeight="true" outlineLevel="0" collapsed="false">
      <c r="B19" s="20" t="s">
        <v>108</v>
      </c>
      <c r="C19" s="21" t="n">
        <v>61271</v>
      </c>
      <c r="D19" s="21" t="n">
        <v>72738</v>
      </c>
      <c r="E19" s="21" t="n">
        <v>72361</v>
      </c>
      <c r="F19" s="21" t="n">
        <v>88136</v>
      </c>
      <c r="G19" s="21" t="n">
        <v>101832</v>
      </c>
      <c r="H19" s="22" t="n">
        <v>125216</v>
      </c>
    </row>
    <row r="21" customFormat="false" ht="15" hidden="false" customHeight="false" outlineLevel="0" collapsed="false">
      <c r="B21" s="28" t="s">
        <v>109</v>
      </c>
    </row>
    <row r="22" customFormat="false" ht="15" hidden="false" customHeight="true" outlineLevel="0" collapsed="false">
      <c r="B22" s="6" t="s">
        <v>38</v>
      </c>
      <c r="C22" s="35" t="n">
        <v>81523</v>
      </c>
      <c r="D22" s="35" t="n">
        <v>97843</v>
      </c>
      <c r="E22" s="35" t="n">
        <v>102384</v>
      </c>
      <c r="F22" s="35" t="n">
        <v>131720</v>
      </c>
      <c r="G22" s="35" t="n">
        <v>162681</v>
      </c>
      <c r="H22" s="25" t="n">
        <v>192586</v>
      </c>
    </row>
    <row r="23" customFormat="false" ht="15" hidden="false" customHeight="true" outlineLevel="0" collapsed="false">
      <c r="B23" s="36" t="s">
        <v>110</v>
      </c>
      <c r="C23" s="37" t="n">
        <v>0.415948788729713</v>
      </c>
      <c r="D23" s="37" t="n">
        <v>0.420552781560498</v>
      </c>
      <c r="E23" s="37" t="n">
        <v>0.417728806361041</v>
      </c>
      <c r="F23" s="37" t="n">
        <v>0.446442995732737</v>
      </c>
      <c r="G23" s="37" t="n">
        <v>0.456219562408599</v>
      </c>
      <c r="H23" s="37" t="n">
        <f aca="false">H14/H5</f>
        <v>0.468016451285532</v>
      </c>
    </row>
    <row r="24" customFormat="false" ht="15" hidden="false" customHeight="true" outlineLevel="0" collapsed="false">
      <c r="B24" s="6" t="s">
        <v>111</v>
      </c>
      <c r="C24" s="12" t="n">
        <v>0.364517395649898</v>
      </c>
      <c r="D24" s="12" t="n">
        <v>0.366863368134362</v>
      </c>
      <c r="E24" s="12" t="n">
        <v>0.341462378783946</v>
      </c>
      <c r="F24" s="12" t="n">
        <v>0.35955972944085</v>
      </c>
      <c r="G24" s="12" t="n">
        <v>0.361460152489671</v>
      </c>
      <c r="H24" s="12" t="n">
        <f aca="false">H19/H5</f>
        <v>0.393423256135456</v>
      </c>
    </row>
    <row r="25" customFormat="false" ht="15" hidden="false" customHeight="true" outlineLevel="0" collapsed="false">
      <c r="B25" s="36" t="s">
        <v>112</v>
      </c>
      <c r="C25" s="37" t="n">
        <v>0.138266152850834</v>
      </c>
      <c r="D25" s="37" t="n">
        <v>0.131133833436858</v>
      </c>
      <c r="E25" s="37" t="n">
        <v>0.189786252533283</v>
      </c>
      <c r="F25" s="37" t="n">
        <v>0.182313265978272</v>
      </c>
      <c r="G25" s="37" t="n">
        <v>0.176296440098037</v>
      </c>
      <c r="H25" s="37" t="n">
        <f aca="false">H18/H17</f>
        <v>0.189556189847446</v>
      </c>
    </row>
    <row r="27" customFormat="false" ht="15" hidden="false" customHeight="false" outlineLevel="0" collapsed="false">
      <c r="B27" s="28" t="s">
        <v>113</v>
      </c>
    </row>
    <row r="28" customFormat="false" ht="15" hidden="false" customHeight="true" outlineLevel="0" collapsed="false">
      <c r="B28" s="6" t="s">
        <v>40</v>
      </c>
      <c r="C28" s="13" t="n">
        <v>8.05</v>
      </c>
      <c r="D28" s="13" t="n">
        <v>9.65</v>
      </c>
      <c r="E28" s="13" t="n">
        <v>9.68</v>
      </c>
      <c r="F28" s="13" t="n">
        <v>11.8</v>
      </c>
      <c r="G28" s="13" t="n">
        <v>13.64</v>
      </c>
      <c r="H28" s="38" t="n">
        <v>16.7900907220094</v>
      </c>
    </row>
    <row r="29" customFormat="false" ht="15" hidden="false" customHeight="true" outlineLevel="0" collapsed="false">
      <c r="B29" s="36" t="s">
        <v>114</v>
      </c>
      <c r="C29" s="39" t="n">
        <v>7608</v>
      </c>
      <c r="D29" s="39" t="n">
        <v>7540</v>
      </c>
      <c r="E29" s="39" t="n">
        <v>7472</v>
      </c>
      <c r="F29" s="39" t="n">
        <v>7469</v>
      </c>
      <c r="G29" s="39" t="n">
        <v>7464</v>
      </c>
      <c r="H29" s="31" t="n">
        <v>7445</v>
      </c>
    </row>
    <row r="30" customFormat="false" ht="15" hidden="false" customHeight="true" outlineLevel="0" collapsed="false">
      <c r="B30" s="6" t="s">
        <v>115</v>
      </c>
      <c r="C30" s="24" t="n">
        <v>6118</v>
      </c>
      <c r="D30" s="24" t="n">
        <v>7502</v>
      </c>
      <c r="E30" s="24" t="n">
        <v>9611</v>
      </c>
      <c r="F30" s="24" t="n">
        <v>10734</v>
      </c>
      <c r="G30" s="24" t="n">
        <v>11974</v>
      </c>
      <c r="H30" s="25" t="n">
        <v>12356</v>
      </c>
    </row>
    <row r="31" customFormat="false" ht="15" hidden="false" customHeight="true" outlineLevel="0" collapsed="false">
      <c r="B31" s="36" t="s">
        <v>116</v>
      </c>
      <c r="C31" s="37" t="n">
        <v>0.0363976012564847</v>
      </c>
      <c r="D31" s="37" t="n">
        <v>0.0378372925808241</v>
      </c>
      <c r="E31" s="37" t="n">
        <v>0.0453530896821839</v>
      </c>
      <c r="F31" s="37" t="n">
        <v>0.0437904390466788</v>
      </c>
      <c r="G31" s="37" t="n">
        <v>0.0425025911885391</v>
      </c>
      <c r="H31" s="37" t="n">
        <f aca="false">H30/H5</f>
        <v>0.038822017576106</v>
      </c>
    </row>
    <row r="33" customFormat="false" ht="15" hidden="false" customHeight="false" outlineLevel="0" collapsed="false">
      <c r="B33" s="16" t="s">
        <v>85</v>
      </c>
      <c r="C33" s="16"/>
      <c r="D33" s="16"/>
      <c r="E33" s="16"/>
      <c r="F33" s="16"/>
      <c r="G33" s="16"/>
      <c r="H33" s="16"/>
    </row>
  </sheetData>
  <mergeCells count="3">
    <mergeCell ref="B2:H2"/>
    <mergeCell ref="C3:H3"/>
    <mergeCell ref="B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2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8" min="3" style="0" width="14"/>
  </cols>
  <sheetData>
    <row r="2" customFormat="false" ht="15" hidden="false" customHeight="false" outlineLevel="0" collapsed="false">
      <c r="B2" s="17" t="s">
        <v>117</v>
      </c>
      <c r="C2" s="17"/>
      <c r="D2" s="17"/>
      <c r="E2" s="17"/>
      <c r="F2" s="17"/>
      <c r="G2" s="17"/>
      <c r="H2" s="17"/>
    </row>
    <row r="3" customFormat="false" ht="15" hidden="false" customHeight="false" outlineLevel="0" collapsed="false">
      <c r="C3" s="18" t="s">
        <v>118</v>
      </c>
      <c r="D3" s="18"/>
      <c r="E3" s="18"/>
      <c r="F3" s="18"/>
      <c r="G3" s="18"/>
      <c r="H3" s="18"/>
    </row>
    <row r="4" customFormat="false" ht="15.75" hidden="false" customHeight="true" outlineLevel="0" collapsed="false">
      <c r="B4" s="19" t="s">
        <v>88</v>
      </c>
      <c r="C4" s="19" t="s">
        <v>89</v>
      </c>
      <c r="D4" s="19" t="s">
        <v>90</v>
      </c>
      <c r="E4" s="19" t="s">
        <v>91</v>
      </c>
      <c r="F4" s="19" t="s">
        <v>92</v>
      </c>
      <c r="G4" s="19" t="s">
        <v>93</v>
      </c>
      <c r="H4" s="19" t="s">
        <v>94</v>
      </c>
    </row>
    <row r="5" customFormat="false" ht="15.75" hidden="false" customHeight="true" outlineLevel="0" collapsed="false">
      <c r="B5" s="5" t="s">
        <v>119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B6" s="28" t="s">
        <v>120</v>
      </c>
    </row>
    <row r="7" customFormat="false" ht="15" hidden="false" customHeight="true" outlineLevel="0" collapsed="false">
      <c r="B7" s="23" t="s">
        <v>121</v>
      </c>
      <c r="C7" s="24" t="n">
        <v>14224</v>
      </c>
      <c r="D7" s="24" t="n">
        <v>13931</v>
      </c>
      <c r="E7" s="24" t="n">
        <v>34704</v>
      </c>
      <c r="F7" s="24" t="n">
        <v>18315</v>
      </c>
      <c r="G7" s="24" t="n">
        <v>30242</v>
      </c>
      <c r="H7" s="25" t="n">
        <v>32105</v>
      </c>
    </row>
    <row r="8" customFormat="false" ht="15" hidden="false" customHeight="true" outlineLevel="0" collapsed="false">
      <c r="B8" s="23" t="s">
        <v>122</v>
      </c>
      <c r="C8" s="24" t="n">
        <v>116110</v>
      </c>
      <c r="D8" s="24" t="n">
        <v>90826</v>
      </c>
      <c r="E8" s="24" t="n">
        <v>76558</v>
      </c>
      <c r="F8" s="24" t="n">
        <v>57228</v>
      </c>
      <c r="G8" s="24" t="n">
        <v>64323</v>
      </c>
      <c r="H8" s="25" t="n">
        <v>46123</v>
      </c>
    </row>
    <row r="9" customFormat="false" ht="15" hidden="false" customHeight="true" outlineLevel="0" collapsed="false">
      <c r="B9" s="23" t="s">
        <v>123</v>
      </c>
      <c r="C9" s="24" t="n">
        <v>38043</v>
      </c>
      <c r="D9" s="24" t="n">
        <v>44261</v>
      </c>
      <c r="E9" s="24" t="n">
        <v>48688</v>
      </c>
      <c r="F9" s="24" t="n">
        <v>56924</v>
      </c>
      <c r="G9" s="24" t="n">
        <v>69905</v>
      </c>
      <c r="H9" s="24"/>
    </row>
    <row r="10" customFormat="false" ht="15" hidden="false" customHeight="true" outlineLevel="0" collapsed="false">
      <c r="B10" s="23" t="s">
        <v>124</v>
      </c>
      <c r="C10" s="24" t="n">
        <v>728</v>
      </c>
      <c r="D10" s="24" t="n">
        <v>3742</v>
      </c>
      <c r="E10" s="24" t="n">
        <v>2500</v>
      </c>
      <c r="F10" s="24" t="n">
        <v>1246</v>
      </c>
      <c r="G10" s="24" t="n">
        <v>938</v>
      </c>
      <c r="H10" s="24"/>
    </row>
    <row r="11" customFormat="false" ht="15" hidden="false" customHeight="true" outlineLevel="0" collapsed="false">
      <c r="B11" s="23" t="s">
        <v>125</v>
      </c>
      <c r="C11" s="24" t="n">
        <v>13393</v>
      </c>
      <c r="D11" s="24" t="n">
        <v>21968</v>
      </c>
      <c r="E11" s="24" t="n">
        <v>21759</v>
      </c>
      <c r="F11" s="24" t="n">
        <v>26021</v>
      </c>
      <c r="G11" s="24" t="n">
        <v>25723</v>
      </c>
      <c r="H11" s="24"/>
    </row>
    <row r="12" customFormat="false" ht="15" hidden="false" customHeight="true" outlineLevel="0" collapsed="false">
      <c r="B12" s="32" t="s">
        <v>126</v>
      </c>
      <c r="C12" s="33" t="n">
        <v>184406</v>
      </c>
      <c r="D12" s="33" t="n">
        <v>174552</v>
      </c>
      <c r="E12" s="33" t="n">
        <v>184257</v>
      </c>
      <c r="F12" s="33" t="n">
        <v>159734</v>
      </c>
      <c r="G12" s="33" t="n">
        <v>191131</v>
      </c>
      <c r="H12" s="33"/>
    </row>
    <row r="13" customFormat="false" ht="15" hidden="false" customHeight="false" outlineLevel="0" collapsed="false">
      <c r="B13" s="28" t="s">
        <v>127</v>
      </c>
    </row>
    <row r="14" customFormat="false" ht="15" hidden="false" customHeight="true" outlineLevel="0" collapsed="false">
      <c r="B14" s="23" t="s">
        <v>128</v>
      </c>
      <c r="C14" s="24" t="n">
        <v>59715</v>
      </c>
      <c r="D14" s="24" t="n">
        <v>74398</v>
      </c>
      <c r="E14" s="24" t="n">
        <v>104440</v>
      </c>
      <c r="F14" s="24" t="n">
        <v>135591</v>
      </c>
      <c r="G14" s="24" t="n">
        <v>204966</v>
      </c>
      <c r="H14" s="24"/>
    </row>
    <row r="15" customFormat="false" ht="15" hidden="false" customHeight="true" outlineLevel="0" collapsed="false">
      <c r="B15" s="23" t="s">
        <v>129</v>
      </c>
      <c r="C15" s="24" t="n">
        <v>13148</v>
      </c>
      <c r="D15" s="24" t="n">
        <v>14346</v>
      </c>
      <c r="E15" s="24" t="n">
        <v>16911</v>
      </c>
      <c r="F15" s="24" t="n">
        <v>18961</v>
      </c>
      <c r="G15" s="24" t="n">
        <v>24823</v>
      </c>
      <c r="H15" s="24"/>
    </row>
    <row r="16" customFormat="false" ht="15" hidden="false" customHeight="true" outlineLevel="0" collapsed="false">
      <c r="B16" s="23" t="s">
        <v>130</v>
      </c>
      <c r="C16" s="24" t="n">
        <v>10026</v>
      </c>
      <c r="D16" s="24" t="n">
        <v>15691</v>
      </c>
      <c r="E16" s="24" t="n">
        <v>13652</v>
      </c>
      <c r="F16" s="24" t="n">
        <v>14600</v>
      </c>
      <c r="G16" s="24" t="n">
        <v>15405</v>
      </c>
      <c r="H16" s="24"/>
    </row>
    <row r="17" customFormat="false" ht="15" hidden="false" customHeight="true" outlineLevel="0" collapsed="false">
      <c r="B17" s="23" t="s">
        <v>131</v>
      </c>
      <c r="C17" s="24" t="n">
        <v>56830</v>
      </c>
      <c r="D17" s="24" t="n">
        <v>67524</v>
      </c>
      <c r="E17" s="24" t="n">
        <v>119776</v>
      </c>
      <c r="F17" s="24" t="n">
        <v>119220</v>
      </c>
      <c r="G17" s="24" t="n">
        <v>119509</v>
      </c>
      <c r="H17" s="25" t="n">
        <v>119661</v>
      </c>
    </row>
    <row r="18" customFormat="false" ht="15" hidden="false" customHeight="true" outlineLevel="0" collapsed="false">
      <c r="B18" s="23" t="s">
        <v>132</v>
      </c>
      <c r="C18" s="24" t="n">
        <v>9366</v>
      </c>
      <c r="D18" s="24" t="n">
        <v>9647</v>
      </c>
      <c r="E18" s="24" t="n">
        <v>28470</v>
      </c>
      <c r="F18" s="24" t="n">
        <v>27597</v>
      </c>
      <c r="G18" s="24" t="n">
        <v>22604</v>
      </c>
      <c r="H18" s="25" t="n">
        <v>19325</v>
      </c>
    </row>
    <row r="19" customFormat="false" ht="15" hidden="false" customHeight="true" outlineLevel="0" collapsed="false">
      <c r="B19" s="23" t="s">
        <v>133</v>
      </c>
      <c r="C19" s="24" t="n">
        <v>33920</v>
      </c>
      <c r="D19" s="24" t="n">
        <v>30601</v>
      </c>
      <c r="E19" s="24" t="n">
        <v>29536</v>
      </c>
      <c r="F19" s="24" t="n">
        <v>36460</v>
      </c>
      <c r="G19" s="24" t="n">
        <v>40565</v>
      </c>
      <c r="H19" s="24"/>
    </row>
    <row r="20" customFormat="false" ht="15" hidden="false" customHeight="true" outlineLevel="0" collapsed="false">
      <c r="B20" s="20" t="s">
        <v>134</v>
      </c>
      <c r="C20" s="26" t="n">
        <v>333779</v>
      </c>
      <c r="D20" s="26" t="n">
        <v>364840</v>
      </c>
      <c r="E20" s="26" t="n">
        <v>411976</v>
      </c>
      <c r="F20" s="26" t="n">
        <v>512163</v>
      </c>
      <c r="G20" s="26" t="n">
        <v>619003</v>
      </c>
      <c r="H20" s="40" t="n">
        <v>694228</v>
      </c>
    </row>
    <row r="22" customFormat="false" ht="15.75" hidden="false" customHeight="true" outlineLevel="0" collapsed="false">
      <c r="B22" s="5" t="s">
        <v>135</v>
      </c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B23" s="28" t="s">
        <v>136</v>
      </c>
    </row>
    <row r="24" customFormat="false" ht="15" hidden="false" customHeight="true" outlineLevel="0" collapsed="false">
      <c r="B24" s="23" t="s">
        <v>137</v>
      </c>
      <c r="C24" s="24" t="n">
        <v>15163</v>
      </c>
      <c r="D24" s="24" t="n">
        <v>19000</v>
      </c>
      <c r="E24" s="24" t="n">
        <v>19000</v>
      </c>
      <c r="F24" s="24" t="n">
        <v>21996</v>
      </c>
      <c r="G24" s="24" t="n">
        <v>27724</v>
      </c>
      <c r="H24" s="24"/>
    </row>
    <row r="25" customFormat="false" ht="15" hidden="false" customHeight="true" outlineLevel="0" collapsed="false">
      <c r="B25" s="23" t="s">
        <v>138</v>
      </c>
      <c r="C25" s="24" t="n">
        <v>8072</v>
      </c>
      <c r="D25" s="24" t="n">
        <v>2749</v>
      </c>
      <c r="E25" s="24" t="n">
        <v>2249</v>
      </c>
      <c r="F25" s="24" t="n">
        <v>2249</v>
      </c>
      <c r="G25" s="24" t="n">
        <v>2999</v>
      </c>
      <c r="H25" s="24"/>
    </row>
    <row r="26" customFormat="false" ht="15" hidden="false" customHeight="true" outlineLevel="0" collapsed="false">
      <c r="B26" s="23" t="s">
        <v>139</v>
      </c>
      <c r="C26" s="24" t="n">
        <v>8072</v>
      </c>
      <c r="D26" s="24" t="n">
        <v>2749</v>
      </c>
      <c r="E26" s="24" t="n">
        <v>5247</v>
      </c>
      <c r="F26" s="24" t="n">
        <v>6693</v>
      </c>
      <c r="G26" s="24" t="n">
        <v>0</v>
      </c>
      <c r="H26" s="25" t="n">
        <v>8839</v>
      </c>
    </row>
    <row r="27" customFormat="false" ht="15" hidden="false" customHeight="true" outlineLevel="0" collapsed="false">
      <c r="B27" s="23" t="s">
        <v>140</v>
      </c>
      <c r="C27" s="24" t="n">
        <v>8048</v>
      </c>
      <c r="D27" s="24" t="n">
        <v>9265</v>
      </c>
      <c r="E27" s="24" t="n">
        <v>10661</v>
      </c>
      <c r="F27" s="24" t="n">
        <v>12564</v>
      </c>
      <c r="G27" s="24" t="n">
        <v>13709</v>
      </c>
      <c r="H27" s="24"/>
    </row>
    <row r="28" customFormat="false" ht="15" hidden="false" customHeight="true" outlineLevel="0" collapsed="false">
      <c r="B28" s="23" t="s">
        <v>141</v>
      </c>
      <c r="C28" s="24" t="n">
        <v>3116</v>
      </c>
      <c r="D28" s="24" t="n">
        <v>4067</v>
      </c>
      <c r="E28" s="24" t="n">
        <v>4152</v>
      </c>
      <c r="F28" s="24" t="n">
        <v>5017</v>
      </c>
      <c r="G28" s="24" t="n">
        <v>7211</v>
      </c>
      <c r="H28" s="24"/>
    </row>
    <row r="29" customFormat="false" ht="15" hidden="false" customHeight="true" outlineLevel="0" collapsed="false">
      <c r="B29" s="23" t="s">
        <v>142</v>
      </c>
      <c r="C29" s="24" t="n">
        <v>50901</v>
      </c>
      <c r="D29" s="24" t="n">
        <v>56811</v>
      </c>
      <c r="E29" s="24" t="n">
        <v>56948</v>
      </c>
      <c r="F29" s="24" t="n">
        <v>57582</v>
      </c>
      <c r="G29" s="24" t="n">
        <v>64555</v>
      </c>
      <c r="H29" s="24"/>
    </row>
    <row r="30" customFormat="false" ht="15" hidden="false" customHeight="true" outlineLevel="0" collapsed="false">
      <c r="B30" s="23" t="s">
        <v>143</v>
      </c>
      <c r="C30" s="24" t="n">
        <v>16590</v>
      </c>
      <c r="D30" s="24" t="n">
        <v>18266</v>
      </c>
      <c r="E30" s="24" t="n">
        <v>18566</v>
      </c>
      <c r="F30" s="24" t="n">
        <v>19185</v>
      </c>
      <c r="G30" s="24" t="n">
        <v>25020</v>
      </c>
      <c r="H30" s="24"/>
    </row>
    <row r="31" customFormat="false" ht="15" hidden="false" customHeight="true" outlineLevel="0" collapsed="false">
      <c r="B31" s="32" t="s">
        <v>144</v>
      </c>
      <c r="C31" s="33" t="n">
        <v>111529</v>
      </c>
      <c r="D31" s="33" t="n">
        <v>116988</v>
      </c>
      <c r="E31" s="33" t="n">
        <v>104149</v>
      </c>
      <c r="F31" s="33" t="n">
        <v>125286</v>
      </c>
      <c r="G31" s="33" t="n">
        <v>141218</v>
      </c>
      <c r="H31" s="33"/>
    </row>
    <row r="32" customFormat="false" ht="15" hidden="false" customHeight="false" outlineLevel="0" collapsed="false">
      <c r="B32" s="28" t="s">
        <v>145</v>
      </c>
    </row>
    <row r="33" customFormat="false" ht="15" hidden="false" customHeight="true" outlineLevel="0" collapsed="false">
      <c r="B33" s="23" t="s">
        <v>146</v>
      </c>
      <c r="C33" s="24" t="n">
        <v>50074</v>
      </c>
      <c r="D33" s="24" t="n">
        <v>47032</v>
      </c>
      <c r="E33" s="24" t="n">
        <v>41990</v>
      </c>
      <c r="F33" s="24" t="n">
        <v>42688</v>
      </c>
      <c r="G33" s="24" t="n">
        <v>40152</v>
      </c>
      <c r="H33" s="25" t="n">
        <v>48126</v>
      </c>
    </row>
    <row r="34" customFormat="false" ht="15" hidden="false" customHeight="true" outlineLevel="0" collapsed="false">
      <c r="B34" s="23" t="s">
        <v>147</v>
      </c>
      <c r="C34" s="24" t="n">
        <v>27765</v>
      </c>
      <c r="D34" s="24" t="n">
        <v>27017</v>
      </c>
      <c r="E34" s="24" t="n">
        <v>17981</v>
      </c>
      <c r="F34" s="24" t="n">
        <v>27931</v>
      </c>
      <c r="G34" s="24" t="n">
        <v>25986</v>
      </c>
      <c r="H34" s="24"/>
    </row>
    <row r="35" customFormat="false" ht="15" hidden="false" customHeight="true" outlineLevel="0" collapsed="false">
      <c r="B35" s="23" t="s">
        <v>148</v>
      </c>
      <c r="C35" s="24" t="n">
        <v>2616</v>
      </c>
      <c r="D35" s="24" t="n">
        <v>2900</v>
      </c>
      <c r="E35" s="24" t="n">
        <v>2943</v>
      </c>
      <c r="F35" s="24" t="n">
        <v>2602</v>
      </c>
      <c r="G35" s="24" t="n">
        <v>2710</v>
      </c>
      <c r="H35" s="24"/>
    </row>
    <row r="36" customFormat="false" ht="15" hidden="false" customHeight="true" outlineLevel="0" collapsed="false">
      <c r="B36" s="23" t="s">
        <v>149</v>
      </c>
      <c r="C36" s="24" t="n">
        <v>1152</v>
      </c>
      <c r="D36" s="24" t="n">
        <v>1222</v>
      </c>
      <c r="E36" s="24" t="n">
        <v>2006</v>
      </c>
      <c r="F36" s="24" t="n">
        <v>2618</v>
      </c>
      <c r="G36" s="24" t="n">
        <v>2835</v>
      </c>
      <c r="H36" s="24"/>
    </row>
    <row r="37" customFormat="false" ht="15" hidden="false" customHeight="true" outlineLevel="0" collapsed="false">
      <c r="B37" s="23" t="s">
        <v>150</v>
      </c>
      <c r="C37" s="24" t="n">
        <v>11726</v>
      </c>
      <c r="D37" s="24" t="n">
        <v>12728</v>
      </c>
      <c r="E37" s="24" t="n">
        <v>14346</v>
      </c>
      <c r="F37" s="24" t="n">
        <v>15497</v>
      </c>
      <c r="G37" s="24" t="n">
        <v>17437</v>
      </c>
      <c r="H37" s="24"/>
    </row>
    <row r="38" customFormat="false" ht="15" hidden="false" customHeight="true" outlineLevel="0" collapsed="false">
      <c r="B38" s="23" t="s">
        <v>151</v>
      </c>
      <c r="C38" s="24" t="n">
        <v>15907</v>
      </c>
      <c r="D38" s="24" t="n">
        <v>17340</v>
      </c>
      <c r="E38" s="24" t="n">
        <v>27415</v>
      </c>
      <c r="F38" s="24" t="n">
        <v>27064</v>
      </c>
      <c r="G38" s="24" t="n">
        <v>45186</v>
      </c>
      <c r="H38" s="24"/>
    </row>
    <row r="39" customFormat="false" ht="15" hidden="false" customHeight="true" outlineLevel="0" collapsed="false">
      <c r="B39" s="20" t="s">
        <v>152</v>
      </c>
      <c r="C39" s="26" t="n">
        <v>191791</v>
      </c>
      <c r="D39" s="26" t="n">
        <v>198298</v>
      </c>
      <c r="E39" s="26" t="n">
        <v>228743</v>
      </c>
      <c r="F39" s="26" t="n">
        <v>243686</v>
      </c>
      <c r="G39" s="26" t="n">
        <v>275524</v>
      </c>
      <c r="H39" s="40" t="n">
        <v>279861</v>
      </c>
    </row>
    <row r="41" customFormat="false" ht="15.75" hidden="false" customHeight="true" outlineLevel="0" collapsed="false">
      <c r="B41" s="5" t="s">
        <v>153</v>
      </c>
      <c r="C41" s="5"/>
      <c r="D41" s="5"/>
      <c r="E41" s="5"/>
      <c r="F41" s="5"/>
      <c r="G41" s="5"/>
      <c r="H41" s="5"/>
    </row>
    <row r="42" customFormat="false" ht="15" hidden="false" customHeight="true" outlineLevel="0" collapsed="false">
      <c r="B42" s="20" t="s">
        <v>154</v>
      </c>
      <c r="C42" s="21" t="n">
        <v>141988</v>
      </c>
      <c r="D42" s="21" t="n">
        <v>166542</v>
      </c>
      <c r="E42" s="21" t="n">
        <v>183233</v>
      </c>
      <c r="F42" s="21" t="n">
        <v>268477</v>
      </c>
      <c r="G42" s="21" t="n">
        <v>343479</v>
      </c>
      <c r="H42" s="21"/>
    </row>
    <row r="43" customFormat="false" ht="15" hidden="false" customHeight="true" outlineLevel="0" collapsed="false">
      <c r="B43" s="32" t="s">
        <v>155</v>
      </c>
      <c r="C43" s="33" t="n">
        <f aca="false">C39+C42</f>
        <v>333779</v>
      </c>
      <c r="D43" s="33" t="n">
        <f aca="false">D39+D42</f>
        <v>364840</v>
      </c>
      <c r="E43" s="33" t="n">
        <f aca="false">E39+E42</f>
        <v>411976</v>
      </c>
      <c r="F43" s="33" t="n">
        <f aca="false">F39+F42</f>
        <v>512163</v>
      </c>
      <c r="G43" s="33" t="n">
        <f aca="false">G39+G42</f>
        <v>619003</v>
      </c>
      <c r="H43" s="33"/>
    </row>
    <row r="45" customFormat="false" ht="15" hidden="false" customHeight="false" outlineLevel="0" collapsed="false">
      <c r="B45" s="28" t="s">
        <v>113</v>
      </c>
    </row>
    <row r="46" customFormat="false" ht="15" hidden="false" customHeight="true" outlineLevel="0" collapsed="false">
      <c r="B46" s="6" t="s">
        <v>156</v>
      </c>
      <c r="C46" s="35" t="n">
        <v>130334</v>
      </c>
      <c r="D46" s="35" t="n">
        <v>104757</v>
      </c>
      <c r="E46" s="35" t="n">
        <v>111262</v>
      </c>
      <c r="F46" s="35" t="n">
        <v>75543</v>
      </c>
      <c r="G46" s="35" t="n">
        <v>94565</v>
      </c>
      <c r="H46" s="35"/>
    </row>
    <row r="47" customFormat="false" ht="15" hidden="false" customHeight="true" outlineLevel="0" collapsed="false">
      <c r="B47" s="6" t="s">
        <v>157</v>
      </c>
      <c r="C47" s="35" t="n">
        <v>66218</v>
      </c>
      <c r="D47" s="35" t="n">
        <v>52530</v>
      </c>
      <c r="E47" s="35" t="n">
        <v>49486</v>
      </c>
      <c r="F47" s="35" t="n">
        <v>51630</v>
      </c>
      <c r="G47" s="35" t="n">
        <v>43151</v>
      </c>
      <c r="H47" s="35"/>
    </row>
    <row r="48" customFormat="false" ht="15" hidden="false" customHeight="true" outlineLevel="0" collapsed="false">
      <c r="B48" s="6" t="s">
        <v>158</v>
      </c>
      <c r="C48" s="35" t="n">
        <v>-52390</v>
      </c>
      <c r="D48" s="35" t="n">
        <v>-39499</v>
      </c>
      <c r="E48" s="35" t="n">
        <v>-47430</v>
      </c>
      <c r="F48" s="35" t="n">
        <v>-8416</v>
      </c>
      <c r="G48" s="35" t="n">
        <v>-33977</v>
      </c>
      <c r="H48" s="35"/>
    </row>
    <row r="49" customFormat="false" ht="15" hidden="false" customHeight="true" outlineLevel="0" collapsed="false">
      <c r="B49" s="6" t="s">
        <v>159</v>
      </c>
      <c r="C49" s="13" t="n">
        <v>18.6629863301788</v>
      </c>
      <c r="D49" s="13" t="n">
        <v>22.0877984084881</v>
      </c>
      <c r="E49" s="13" t="n">
        <v>24.5226177730193</v>
      </c>
      <c r="F49" s="13" t="n">
        <v>35.9455081001473</v>
      </c>
      <c r="G49" s="13" t="n">
        <v>46.0180868167203</v>
      </c>
      <c r="H49" s="13"/>
    </row>
    <row r="51" customFormat="false" ht="15" hidden="false" customHeight="false" outlineLevel="0" collapsed="false">
      <c r="B51" s="16" t="s">
        <v>85</v>
      </c>
      <c r="C51" s="16"/>
      <c r="D51" s="16"/>
      <c r="E51" s="16"/>
      <c r="F51" s="16"/>
      <c r="G51" s="16"/>
      <c r="H51" s="16"/>
    </row>
  </sheetData>
  <mergeCells count="6">
    <mergeCell ref="B2:H2"/>
    <mergeCell ref="C3:H3"/>
    <mergeCell ref="B5:H5"/>
    <mergeCell ref="B22:H22"/>
    <mergeCell ref="B41:H41"/>
    <mergeCell ref="B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2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8" min="3" style="0" width="14"/>
  </cols>
  <sheetData>
    <row r="2" customFormat="false" ht="15" hidden="false" customHeight="false" outlineLevel="0" collapsed="false">
      <c r="B2" s="17" t="s">
        <v>160</v>
      </c>
      <c r="C2" s="17"/>
      <c r="D2" s="17"/>
      <c r="E2" s="17"/>
      <c r="F2" s="17"/>
      <c r="G2" s="17"/>
      <c r="H2" s="17"/>
    </row>
    <row r="3" customFormat="false" ht="15" hidden="false" customHeight="false" outlineLevel="0" collapsed="false">
      <c r="C3" s="18" t="s">
        <v>118</v>
      </c>
      <c r="D3" s="18"/>
      <c r="E3" s="18"/>
      <c r="F3" s="18"/>
      <c r="G3" s="18"/>
      <c r="H3" s="18"/>
    </row>
    <row r="4" customFormat="false" ht="15.75" hidden="false" customHeight="true" outlineLevel="0" collapsed="false">
      <c r="B4" s="19" t="s">
        <v>88</v>
      </c>
      <c r="C4" s="19" t="s">
        <v>89</v>
      </c>
      <c r="D4" s="19" t="s">
        <v>90</v>
      </c>
      <c r="E4" s="19" t="s">
        <v>91</v>
      </c>
      <c r="F4" s="19" t="s">
        <v>92</v>
      </c>
      <c r="G4" s="19" t="s">
        <v>93</v>
      </c>
      <c r="H4" s="19" t="s">
        <v>94</v>
      </c>
    </row>
    <row r="5" customFormat="false" ht="15.75" hidden="false" customHeight="true" outlineLevel="0" collapsed="false">
      <c r="B5" s="5" t="s">
        <v>161</v>
      </c>
      <c r="C5" s="5"/>
      <c r="D5" s="5"/>
      <c r="E5" s="5"/>
      <c r="F5" s="5"/>
      <c r="G5" s="5"/>
      <c r="H5" s="5"/>
    </row>
    <row r="6" customFormat="false" ht="15" hidden="false" customHeight="true" outlineLevel="0" collapsed="false">
      <c r="B6" s="23" t="s">
        <v>108</v>
      </c>
      <c r="C6" s="24" t="n">
        <v>61271</v>
      </c>
      <c r="D6" s="24" t="n">
        <v>72738</v>
      </c>
      <c r="E6" s="24" t="n">
        <v>72361</v>
      </c>
      <c r="F6" s="24" t="n">
        <v>88136</v>
      </c>
      <c r="G6" s="24" t="n">
        <v>101832</v>
      </c>
      <c r="H6" s="25" t="n">
        <v>125216</v>
      </c>
    </row>
    <row r="7" customFormat="false" ht="15" hidden="false" customHeight="true" outlineLevel="0" collapsed="false">
      <c r="B7" s="23" t="s">
        <v>162</v>
      </c>
      <c r="C7" s="24" t="n">
        <v>11607</v>
      </c>
      <c r="D7" s="24" t="n">
        <v>14460</v>
      </c>
      <c r="E7" s="24" t="n">
        <v>13861</v>
      </c>
      <c r="F7" s="24" t="n">
        <v>22287</v>
      </c>
      <c r="G7" s="24" t="n">
        <v>34153</v>
      </c>
      <c r="H7" s="25" t="n">
        <v>43629</v>
      </c>
    </row>
    <row r="8" customFormat="false" ht="15" hidden="false" customHeight="true" outlineLevel="0" collapsed="false">
      <c r="B8" s="23" t="s">
        <v>163</v>
      </c>
      <c r="C8" s="24" t="n">
        <v>6118</v>
      </c>
      <c r="D8" s="24" t="n">
        <v>7502</v>
      </c>
      <c r="E8" s="24" t="n">
        <v>9611</v>
      </c>
      <c r="F8" s="24" t="n">
        <v>10734</v>
      </c>
      <c r="G8" s="24" t="n">
        <v>11974</v>
      </c>
      <c r="H8" s="25" t="n">
        <v>12356</v>
      </c>
    </row>
    <row r="9" customFormat="false" ht="15" hidden="false" customHeight="true" outlineLevel="0" collapsed="false">
      <c r="B9" s="23" t="s">
        <v>164</v>
      </c>
      <c r="C9" s="24" t="n">
        <v>-3000</v>
      </c>
      <c r="D9" s="24" t="n">
        <v>-5000</v>
      </c>
      <c r="E9" s="24" t="n">
        <v>8000</v>
      </c>
      <c r="F9" s="24" t="n">
        <v>12000</v>
      </c>
      <c r="G9" s="24" t="n">
        <v>6000</v>
      </c>
      <c r="H9" s="25" t="n">
        <v>0</v>
      </c>
    </row>
    <row r="10" customFormat="false" ht="15" hidden="false" customHeight="true" outlineLevel="0" collapsed="false">
      <c r="B10" s="23" t="s">
        <v>165</v>
      </c>
      <c r="C10" s="24" t="n">
        <v>744</v>
      </c>
      <c r="D10" s="24" t="n">
        <v>-665</v>
      </c>
      <c r="E10" s="24" t="n">
        <v>-16251</v>
      </c>
      <c r="F10" s="24" t="n">
        <v>-14609</v>
      </c>
      <c r="G10" s="24" t="n">
        <v>-17797</v>
      </c>
      <c r="H10" s="25" t="n">
        <v>-11060</v>
      </c>
    </row>
    <row r="11" customFormat="false" ht="15" hidden="false" customHeight="true" outlineLevel="0" collapsed="false">
      <c r="B11" s="20" t="s">
        <v>166</v>
      </c>
      <c r="C11" s="21" t="n">
        <v>76740</v>
      </c>
      <c r="D11" s="21" t="n">
        <v>89035</v>
      </c>
      <c r="E11" s="21" t="n">
        <v>87582</v>
      </c>
      <c r="F11" s="21" t="n">
        <v>118548</v>
      </c>
      <c r="G11" s="21" t="n">
        <v>136162</v>
      </c>
      <c r="H11" s="22" t="n">
        <v>170141</v>
      </c>
    </row>
    <row r="12" customFormat="false" ht="15.75" hidden="false" customHeight="true" outlineLevel="0" collapsed="false">
      <c r="B12" s="5" t="s">
        <v>167</v>
      </c>
      <c r="C12" s="5"/>
      <c r="D12" s="5"/>
      <c r="E12" s="5"/>
      <c r="F12" s="5"/>
      <c r="G12" s="5"/>
      <c r="H12" s="5"/>
    </row>
    <row r="13" customFormat="false" ht="15" hidden="false" customHeight="true" outlineLevel="0" collapsed="false">
      <c r="B13" s="23" t="s">
        <v>168</v>
      </c>
      <c r="C13" s="24" t="n">
        <v>-20622</v>
      </c>
      <c r="D13" s="24" t="n">
        <v>-23886</v>
      </c>
      <c r="E13" s="24" t="n">
        <v>-28107</v>
      </c>
      <c r="F13" s="24" t="n">
        <v>-44477</v>
      </c>
      <c r="G13" s="24" t="n">
        <v>-64551</v>
      </c>
      <c r="H13" s="25" t="n">
        <v>-97225</v>
      </c>
    </row>
    <row r="14" customFormat="false" ht="15" hidden="false" customHeight="true" outlineLevel="0" collapsed="false">
      <c r="B14" s="23" t="s">
        <v>169</v>
      </c>
      <c r="C14" s="24" t="n">
        <v>-8909</v>
      </c>
      <c r="D14" s="24" t="n">
        <v>0</v>
      </c>
      <c r="E14" s="24" t="n">
        <v>-1670</v>
      </c>
      <c r="F14" s="24" t="n">
        <v>-69132</v>
      </c>
      <c r="G14" s="24" t="n">
        <v>-5978</v>
      </c>
      <c r="H14" s="25" t="n">
        <v>-3034</v>
      </c>
    </row>
    <row r="15" customFormat="false" ht="15" hidden="false" customHeight="true" outlineLevel="0" collapsed="false">
      <c r="B15" s="23" t="s">
        <v>170</v>
      </c>
      <c r="C15" s="24" t="n">
        <v>9957</v>
      </c>
      <c r="D15" s="24" t="n">
        <v>-4948</v>
      </c>
      <c r="E15" s="24" t="n">
        <v>7097</v>
      </c>
      <c r="F15" s="24" t="n">
        <v>16639</v>
      </c>
      <c r="G15" s="24" t="n">
        <v>-2070</v>
      </c>
      <c r="H15" s="25" t="n">
        <v>0</v>
      </c>
    </row>
    <row r="16" customFormat="false" ht="15" hidden="false" customHeight="true" outlineLevel="0" collapsed="false">
      <c r="B16" s="20" t="s">
        <v>171</v>
      </c>
      <c r="C16" s="21" t="n">
        <v>-19574</v>
      </c>
      <c r="D16" s="21" t="n">
        <v>-28834</v>
      </c>
      <c r="E16" s="21" t="n">
        <v>-22680</v>
      </c>
      <c r="F16" s="21" t="n">
        <v>-96970</v>
      </c>
      <c r="G16" s="21" t="n">
        <v>-72599</v>
      </c>
      <c r="H16" s="22" t="n">
        <v>-100259</v>
      </c>
    </row>
    <row r="17" customFormat="false" ht="15.75" hidden="false" customHeight="true" outlineLevel="0" collapsed="false">
      <c r="B17" s="5" t="s">
        <v>172</v>
      </c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B18" s="23" t="s">
        <v>173</v>
      </c>
      <c r="C18" s="24" t="n">
        <v>-27385</v>
      </c>
      <c r="D18" s="24" t="n">
        <v>-32696</v>
      </c>
      <c r="E18" s="24" t="n">
        <v>-17563</v>
      </c>
      <c r="F18" s="24" t="n">
        <v>-16729</v>
      </c>
      <c r="G18" s="24" t="n">
        <v>-17700</v>
      </c>
      <c r="H18" s="25" t="n">
        <v>-22238</v>
      </c>
    </row>
    <row r="19" customFormat="false" ht="15" hidden="false" customHeight="true" outlineLevel="0" collapsed="false">
      <c r="B19" s="23" t="s">
        <v>174</v>
      </c>
      <c r="C19" s="24" t="n">
        <v>-16521</v>
      </c>
      <c r="D19" s="24" t="n">
        <v>-18135</v>
      </c>
      <c r="E19" s="24" t="n">
        <v>-18563</v>
      </c>
      <c r="F19" s="24" t="n">
        <v>-21161</v>
      </c>
      <c r="G19" s="24" t="n">
        <v>-22340</v>
      </c>
      <c r="H19" s="25" t="n">
        <v>-25856</v>
      </c>
    </row>
    <row r="20" customFormat="false" ht="15" hidden="false" customHeight="true" outlineLevel="0" collapsed="false">
      <c r="B20" s="23" t="s">
        <v>175</v>
      </c>
      <c r="C20" s="24" t="n">
        <v>-939</v>
      </c>
      <c r="D20" s="24" t="n">
        <v>-2499</v>
      </c>
      <c r="E20" s="24" t="n">
        <v>-7809</v>
      </c>
      <c r="F20" s="24" t="n">
        <v>133</v>
      </c>
      <c r="G20" s="24" t="n">
        <v>-11659</v>
      </c>
      <c r="H20" s="25" t="n">
        <v>0</v>
      </c>
    </row>
    <row r="21" customFormat="false" ht="15" hidden="false" customHeight="true" outlineLevel="0" collapsed="false">
      <c r="B21" s="20" t="s">
        <v>176</v>
      </c>
      <c r="C21" s="21" t="n">
        <v>-44845</v>
      </c>
      <c r="D21" s="21" t="n">
        <v>-53330</v>
      </c>
      <c r="E21" s="21" t="n">
        <v>-43935</v>
      </c>
      <c r="F21" s="21" t="n">
        <v>-37757</v>
      </c>
      <c r="G21" s="21" t="n">
        <v>-51699</v>
      </c>
      <c r="H21" s="22" t="n">
        <v>-48094</v>
      </c>
    </row>
    <row r="23" customFormat="false" ht="15" hidden="false" customHeight="true" outlineLevel="0" collapsed="false">
      <c r="B23" s="6" t="s">
        <v>177</v>
      </c>
      <c r="C23" s="35" t="n">
        <f aca="false">C11+C16+C21</f>
        <v>12321</v>
      </c>
      <c r="D23" s="35" t="n">
        <f aca="false">D11+D16+D21</f>
        <v>6871</v>
      </c>
      <c r="E23" s="35" t="n">
        <f aca="false">E11+E16+E21</f>
        <v>20967</v>
      </c>
      <c r="F23" s="35" t="n">
        <f aca="false">F11+F16+F21</f>
        <v>-16179</v>
      </c>
      <c r="G23" s="35" t="n">
        <f aca="false">G11+G16+G21</f>
        <v>11864</v>
      </c>
      <c r="H23" s="11" t="n">
        <f aca="false">H11+H16+H21</f>
        <v>21788</v>
      </c>
    </row>
    <row r="25" customFormat="false" ht="15" hidden="false" customHeight="true" outlineLevel="0" collapsed="false">
      <c r="B25" s="32" t="s">
        <v>178</v>
      </c>
      <c r="C25" s="33" t="n">
        <f aca="false">C11+C13</f>
        <v>56118</v>
      </c>
      <c r="D25" s="33" t="n">
        <f aca="false">D11+D13</f>
        <v>65149</v>
      </c>
      <c r="E25" s="33" t="n">
        <f aca="false">E11+E13</f>
        <v>59475</v>
      </c>
      <c r="F25" s="33" t="n">
        <f aca="false">F11+F13</f>
        <v>74071</v>
      </c>
      <c r="G25" s="33" t="n">
        <f aca="false">G11+G13</f>
        <v>71611</v>
      </c>
      <c r="H25" s="34" t="n">
        <f aca="false">H11+H13</f>
        <v>72916</v>
      </c>
    </row>
    <row r="27" customFormat="false" ht="15" hidden="false" customHeight="false" outlineLevel="0" collapsed="false">
      <c r="B27" s="16" t="s">
        <v>85</v>
      </c>
      <c r="C27" s="16"/>
      <c r="D27" s="16"/>
      <c r="E27" s="16"/>
      <c r="F27" s="16"/>
      <c r="G27" s="16"/>
      <c r="H27" s="16"/>
    </row>
  </sheetData>
  <mergeCells count="6">
    <mergeCell ref="B2:H2"/>
    <mergeCell ref="C3:H3"/>
    <mergeCell ref="B5:H5"/>
    <mergeCell ref="B12:H12"/>
    <mergeCell ref="B17:H17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2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30"/>
  </cols>
  <sheetData>
    <row r="2" customFormat="false" ht="15" hidden="false" customHeight="false" outlineLevel="0" collapsed="false">
      <c r="B2" s="17" t="s">
        <v>179</v>
      </c>
      <c r="C2" s="17"/>
      <c r="D2" s="17"/>
      <c r="E2" s="17"/>
      <c r="F2" s="17"/>
    </row>
    <row r="3" customFormat="false" ht="6" hidden="false" customHeight="true" outlineLevel="0" collapsed="false"/>
    <row r="4" customFormat="false" ht="15.75" hidden="false" customHeight="true" outlineLevel="0" collapsed="false">
      <c r="B4" s="19" t="s">
        <v>180</v>
      </c>
      <c r="C4" s="19" t="s">
        <v>181</v>
      </c>
      <c r="D4" s="19" t="s">
        <v>182</v>
      </c>
      <c r="E4" s="19" t="s">
        <v>183</v>
      </c>
      <c r="F4" s="19" t="s">
        <v>184</v>
      </c>
    </row>
    <row r="5" customFormat="false" ht="15.75" hidden="false" customHeight="true" outlineLevel="0" collapsed="false">
      <c r="B5" s="18" t="s">
        <v>185</v>
      </c>
      <c r="C5" s="18"/>
      <c r="D5" s="18"/>
      <c r="E5" s="18"/>
      <c r="F5" s="18"/>
    </row>
    <row r="6" customFormat="false" ht="15" hidden="false" customHeight="true" outlineLevel="0" collapsed="false">
      <c r="B6" s="6" t="s">
        <v>186</v>
      </c>
      <c r="C6" s="41" t="n">
        <v>0.295789932809239</v>
      </c>
      <c r="D6" s="42" t="s">
        <v>187</v>
      </c>
      <c r="E6" s="43" t="s">
        <v>188</v>
      </c>
      <c r="F6" s="44" t="s">
        <v>189</v>
      </c>
    </row>
    <row r="7" customFormat="false" ht="15" hidden="false" customHeight="true" outlineLevel="0" collapsed="false">
      <c r="B7" s="6" t="s">
        <v>190</v>
      </c>
      <c r="C7" s="41" t="n">
        <v>52.6908383445348</v>
      </c>
      <c r="D7" s="42" t="s">
        <v>191</v>
      </c>
      <c r="E7" s="43" t="s">
        <v>188</v>
      </c>
      <c r="F7" s="44" t="s">
        <v>192</v>
      </c>
    </row>
    <row r="8" customFormat="false" ht="15" hidden="false" customHeight="true" outlineLevel="0" collapsed="false">
      <c r="B8" s="6" t="s">
        <v>193</v>
      </c>
      <c r="C8" s="41" t="n">
        <v>1.35344644450424</v>
      </c>
      <c r="D8" s="42" t="s">
        <v>194</v>
      </c>
      <c r="E8" s="43" t="s">
        <v>188</v>
      </c>
      <c r="F8" s="44" t="s">
        <v>195</v>
      </c>
    </row>
    <row r="9" customFormat="false" ht="15" hidden="false" customHeight="true" outlineLevel="0" collapsed="false">
      <c r="B9" s="6" t="s">
        <v>196</v>
      </c>
      <c r="C9" s="41" t="n">
        <v>-0.110407817806071</v>
      </c>
      <c r="D9" s="42" t="s">
        <v>197</v>
      </c>
      <c r="E9" s="43" t="s">
        <v>188</v>
      </c>
      <c r="F9" s="44" t="s">
        <v>198</v>
      </c>
    </row>
    <row r="10" customFormat="false" ht="15" hidden="false" customHeight="true" outlineLevel="0" collapsed="false">
      <c r="B10" s="6" t="s">
        <v>199</v>
      </c>
      <c r="C10" s="41" t="n">
        <v>0.137474750643753</v>
      </c>
      <c r="D10" s="42" t="s">
        <v>200</v>
      </c>
      <c r="E10" s="43" t="s">
        <v>188</v>
      </c>
      <c r="F10" s="44" t="s">
        <v>201</v>
      </c>
    </row>
    <row r="12" customFormat="false" ht="15.75" hidden="false" customHeight="true" outlineLevel="0" collapsed="false">
      <c r="B12" s="18" t="s">
        <v>202</v>
      </c>
      <c r="C12" s="18"/>
      <c r="D12" s="18"/>
      <c r="E12" s="18"/>
      <c r="F12" s="18"/>
    </row>
    <row r="13" customFormat="false" ht="15" hidden="false" customHeight="true" outlineLevel="0" collapsed="false">
      <c r="B13" s="6" t="s">
        <v>37</v>
      </c>
      <c r="C13" s="45" t="n">
        <v>0.468016451285532</v>
      </c>
      <c r="D13" s="42" t="s">
        <v>203</v>
      </c>
      <c r="E13" s="43" t="s">
        <v>188</v>
      </c>
      <c r="F13" s="44" t="s">
        <v>204</v>
      </c>
    </row>
    <row r="14" customFormat="false" ht="15" hidden="false" customHeight="true" outlineLevel="0" collapsed="false">
      <c r="B14" s="6" t="s">
        <v>205</v>
      </c>
      <c r="C14" s="45" t="n">
        <v>0.399232060388171</v>
      </c>
      <c r="D14" s="42" t="s">
        <v>206</v>
      </c>
      <c r="E14" s="43" t="s">
        <v>188</v>
      </c>
      <c r="F14" s="44" t="s">
        <v>207</v>
      </c>
    </row>
    <row r="15" customFormat="false" ht="15" hidden="false" customHeight="true" outlineLevel="0" collapsed="false">
      <c r="B15" s="6" t="s">
        <v>42</v>
      </c>
      <c r="C15" s="45" t="n">
        <v>0.229098918224292</v>
      </c>
      <c r="D15" s="42" t="s">
        <v>208</v>
      </c>
      <c r="E15" s="43" t="s">
        <v>188</v>
      </c>
      <c r="F15" s="44" t="s">
        <v>209</v>
      </c>
    </row>
    <row r="16" customFormat="false" ht="15" hidden="false" customHeight="true" outlineLevel="0" collapsed="false">
      <c r="B16" s="6" t="s">
        <v>210</v>
      </c>
      <c r="C16" s="45" t="n">
        <v>0.309232060388171</v>
      </c>
      <c r="D16" s="42" t="s">
        <v>211</v>
      </c>
      <c r="E16" s="43" t="s">
        <v>188</v>
      </c>
      <c r="F16" s="44" t="s">
        <v>212</v>
      </c>
    </row>
    <row r="18" customFormat="false" ht="15.75" hidden="false" customHeight="true" outlineLevel="0" collapsed="false">
      <c r="B18" s="18" t="s">
        <v>213</v>
      </c>
      <c r="C18" s="18"/>
      <c r="D18" s="18"/>
      <c r="E18" s="18"/>
      <c r="F18" s="18"/>
    </row>
    <row r="19" customFormat="false" ht="15" hidden="false" customHeight="true" outlineLevel="0" collapsed="false">
      <c r="B19" s="6" t="s">
        <v>214</v>
      </c>
      <c r="C19" s="45" t="n">
        <v>0.0995645148194613</v>
      </c>
      <c r="D19" s="42" t="s">
        <v>215</v>
      </c>
      <c r="E19" s="43" t="s">
        <v>188</v>
      </c>
      <c r="F19" s="44" t="s">
        <v>216</v>
      </c>
    </row>
    <row r="20" customFormat="false" ht="15" hidden="false" customHeight="true" outlineLevel="0" collapsed="false">
      <c r="B20" s="6" t="s">
        <v>217</v>
      </c>
      <c r="C20" s="45" t="n">
        <v>0.063853342852328</v>
      </c>
      <c r="D20" s="42" t="s">
        <v>215</v>
      </c>
      <c r="E20" s="43" t="s">
        <v>188</v>
      </c>
      <c r="F20" s="44" t="s">
        <v>218</v>
      </c>
    </row>
    <row r="21" customFormat="false" ht="15" hidden="false" customHeight="true" outlineLevel="0" collapsed="false">
      <c r="B21" s="6" t="s">
        <v>54</v>
      </c>
      <c r="C21" s="45" t="n">
        <v>0.235051624658366</v>
      </c>
      <c r="D21" s="42" t="s">
        <v>215</v>
      </c>
      <c r="E21" s="43" t="s">
        <v>188</v>
      </c>
      <c r="F21" s="44" t="s">
        <v>219</v>
      </c>
    </row>
    <row r="23" customFormat="false" ht="15.75" hidden="false" customHeight="true" outlineLevel="0" collapsed="false">
      <c r="B23" s="18" t="s">
        <v>220</v>
      </c>
      <c r="C23" s="18"/>
      <c r="D23" s="18"/>
      <c r="E23" s="18"/>
      <c r="F23" s="18"/>
    </row>
    <row r="24" customFormat="false" ht="15" hidden="false" customHeight="true" outlineLevel="0" collapsed="false">
      <c r="B24" s="6" t="s">
        <v>221</v>
      </c>
      <c r="C24" s="45" t="n">
        <v>0.605541124732666</v>
      </c>
      <c r="D24" s="42" t="s">
        <v>222</v>
      </c>
      <c r="E24" s="43" t="s">
        <v>188</v>
      </c>
      <c r="F24" s="44" t="s">
        <v>223</v>
      </c>
    </row>
    <row r="25" customFormat="false" ht="15" hidden="false" customHeight="true" outlineLevel="0" collapsed="false">
      <c r="B25" s="6" t="s">
        <v>224</v>
      </c>
      <c r="C25" s="45" t="n">
        <v>0.0388220175761061</v>
      </c>
      <c r="D25" s="42" t="s">
        <v>225</v>
      </c>
      <c r="E25" s="43" t="s">
        <v>188</v>
      </c>
      <c r="F25" s="44" t="s">
        <v>226</v>
      </c>
    </row>
    <row r="26" customFormat="false" ht="15" hidden="false" customHeight="true" outlineLevel="0" collapsed="false">
      <c r="B26" s="6" t="s">
        <v>227</v>
      </c>
      <c r="C26" s="45" t="n">
        <v>0.305476744807131</v>
      </c>
      <c r="D26" s="42" t="s">
        <v>228</v>
      </c>
      <c r="E26" s="46" t="s">
        <v>229</v>
      </c>
      <c r="F26" s="44" t="s">
        <v>230</v>
      </c>
    </row>
    <row r="27" customFormat="false" ht="15" hidden="false" customHeight="true" outlineLevel="0" collapsed="false">
      <c r="B27" s="6" t="s">
        <v>231</v>
      </c>
      <c r="C27" s="45" t="n">
        <v>0.21</v>
      </c>
      <c r="D27" s="42" t="s">
        <v>206</v>
      </c>
      <c r="E27" s="43" t="s">
        <v>188</v>
      </c>
      <c r="F27" s="44" t="s">
        <v>232</v>
      </c>
    </row>
    <row r="28" customFormat="false" ht="15" hidden="false" customHeight="true" outlineLevel="0" collapsed="false">
      <c r="B28" s="6" t="s">
        <v>233</v>
      </c>
      <c r="C28" s="45" t="n">
        <v>0.402799051554003</v>
      </c>
      <c r="D28" s="42" t="s">
        <v>234</v>
      </c>
      <c r="E28" s="43" t="s">
        <v>188</v>
      </c>
      <c r="F28" s="44" t="s">
        <v>235</v>
      </c>
    </row>
    <row r="30" customFormat="false" ht="15" hidden="false" customHeight="false" outlineLevel="0" collapsed="false">
      <c r="B30" s="16" t="s">
        <v>85</v>
      </c>
      <c r="C30" s="16"/>
      <c r="D30" s="16"/>
      <c r="E30" s="16"/>
      <c r="F30" s="16"/>
    </row>
  </sheetData>
  <mergeCells count="6">
    <mergeCell ref="B2:F2"/>
    <mergeCell ref="B5:F5"/>
    <mergeCell ref="B12:F12"/>
    <mergeCell ref="B18:F18"/>
    <mergeCell ref="B23:F23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B2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4"/>
  </cols>
  <sheetData>
    <row r="2" customFormat="false" ht="15" hidden="false" customHeight="false" outlineLevel="0" collapsed="false">
      <c r="B2" s="17" t="s">
        <v>236</v>
      </c>
      <c r="C2" s="17"/>
      <c r="D2" s="17"/>
      <c r="E2" s="17"/>
      <c r="F2" s="17"/>
      <c r="G2" s="17"/>
    </row>
    <row r="4" customFormat="false" ht="15.75" hidden="false" customHeight="true" outlineLevel="0" collapsed="false">
      <c r="B4" s="5" t="s">
        <v>237</v>
      </c>
      <c r="C4" s="5"/>
      <c r="D4" s="5"/>
      <c r="E4" s="5"/>
      <c r="F4" s="5"/>
      <c r="G4" s="5"/>
    </row>
    <row r="5" customFormat="false" ht="15" hidden="false" customHeight="false" outlineLevel="0" collapsed="false">
      <c r="B5" s="6" t="s">
        <v>238</v>
      </c>
      <c r="C5" s="10" t="n">
        <v>5</v>
      </c>
      <c r="D5" s="9" t="s">
        <v>239</v>
      </c>
    </row>
    <row r="6" customFormat="false" ht="15" hidden="false" customHeight="false" outlineLevel="0" collapsed="false">
      <c r="B6" s="6" t="s">
        <v>240</v>
      </c>
      <c r="C6" s="9" t="s">
        <v>241</v>
      </c>
    </row>
    <row r="7" customFormat="false" ht="15" hidden="false" customHeight="false" outlineLevel="0" collapsed="false">
      <c r="B7" s="6" t="s">
        <v>242</v>
      </c>
      <c r="C7" s="9" t="s">
        <v>243</v>
      </c>
    </row>
    <row r="9" customFormat="false" ht="15.75" hidden="false" customHeight="true" outlineLevel="0" collapsed="false">
      <c r="B9" s="5" t="s">
        <v>244</v>
      </c>
      <c r="C9" s="5"/>
      <c r="D9" s="5"/>
      <c r="E9" s="5"/>
      <c r="F9" s="5"/>
      <c r="G9" s="5"/>
    </row>
    <row r="10" customFormat="false" ht="15.75" hidden="false" customHeight="true" outlineLevel="0" collapsed="false">
      <c r="B10" s="19" t="s">
        <v>245</v>
      </c>
      <c r="C10" s="19" t="s">
        <v>89</v>
      </c>
      <c r="D10" s="19" t="s">
        <v>90</v>
      </c>
      <c r="E10" s="19" t="s">
        <v>91</v>
      </c>
      <c r="F10" s="19" t="s">
        <v>92</v>
      </c>
      <c r="G10" s="19" t="s">
        <v>93</v>
      </c>
    </row>
    <row r="11" customFormat="false" ht="15" hidden="false" customHeight="false" outlineLevel="0" collapsed="false">
      <c r="B11" s="6" t="s">
        <v>246</v>
      </c>
      <c r="C11" s="24" t="n">
        <v>20117</v>
      </c>
      <c r="D11" s="24" t="n">
        <v>21825</v>
      </c>
      <c r="E11" s="24" t="n">
        <v>22759</v>
      </c>
      <c r="F11" s="24" t="n">
        <v>24456</v>
      </c>
      <c r="G11" s="24" t="n">
        <v>25798</v>
      </c>
    </row>
    <row r="13" customFormat="false" ht="15.75" hidden="false" customHeight="true" outlineLevel="0" collapsed="false">
      <c r="B13" s="5" t="s">
        <v>247</v>
      </c>
      <c r="C13" s="5"/>
      <c r="D13" s="5"/>
      <c r="E13" s="5"/>
      <c r="F13" s="5"/>
      <c r="G13" s="5"/>
    </row>
    <row r="14" customFormat="false" ht="15.75" hidden="false" customHeight="true" outlineLevel="0" collapsed="false">
      <c r="B14" s="19" t="s">
        <v>248</v>
      </c>
      <c r="C14" s="19" t="s">
        <v>89</v>
      </c>
      <c r="D14" s="19" t="s">
        <v>90</v>
      </c>
      <c r="E14" s="19" t="s">
        <v>91</v>
      </c>
      <c r="F14" s="19" t="s">
        <v>92</v>
      </c>
      <c r="G14" s="19" t="s">
        <v>93</v>
      </c>
    </row>
    <row r="15" customFormat="false" ht="15" hidden="false" customHeight="false" outlineLevel="0" collapsed="false">
      <c r="B15" s="6" t="s">
        <v>249</v>
      </c>
      <c r="C15" s="35" t="n">
        <v>4023.4</v>
      </c>
      <c r="D15" s="35" t="n">
        <v>4023.4</v>
      </c>
      <c r="E15" s="35" t="n">
        <v>4023.4</v>
      </c>
      <c r="F15" s="35" t="n">
        <v>4023.4</v>
      </c>
      <c r="G15" s="35" t="n">
        <v>4023.4</v>
      </c>
    </row>
    <row r="16" customFormat="false" ht="15" hidden="false" customHeight="false" outlineLevel="0" collapsed="false">
      <c r="B16" s="6" t="s">
        <v>250</v>
      </c>
      <c r="C16" s="47" t="s">
        <v>251</v>
      </c>
      <c r="D16" s="35" t="n">
        <v>4365</v>
      </c>
      <c r="E16" s="35" t="n">
        <v>4365</v>
      </c>
      <c r="F16" s="35" t="n">
        <v>4365</v>
      </c>
      <c r="G16" s="35" t="n">
        <v>4365</v>
      </c>
    </row>
    <row r="17" customFormat="false" ht="15" hidden="false" customHeight="false" outlineLevel="0" collapsed="false">
      <c r="B17" s="6" t="s">
        <v>252</v>
      </c>
      <c r="C17" s="47" t="s">
        <v>251</v>
      </c>
      <c r="D17" s="47" t="s">
        <v>251</v>
      </c>
      <c r="E17" s="35" t="n">
        <v>4551.8</v>
      </c>
      <c r="F17" s="35" t="n">
        <v>4551.8</v>
      </c>
      <c r="G17" s="35" t="n">
        <v>4551.8</v>
      </c>
    </row>
    <row r="18" customFormat="false" ht="15" hidden="false" customHeight="false" outlineLevel="0" collapsed="false">
      <c r="B18" s="6" t="s">
        <v>253</v>
      </c>
      <c r="C18" s="47" t="s">
        <v>251</v>
      </c>
      <c r="D18" s="47" t="s">
        <v>251</v>
      </c>
      <c r="E18" s="47" t="s">
        <v>251</v>
      </c>
      <c r="F18" s="35" t="n">
        <v>4891.2</v>
      </c>
      <c r="G18" s="35" t="n">
        <v>4891.2</v>
      </c>
    </row>
    <row r="19" customFormat="false" ht="15" hidden="false" customHeight="false" outlineLevel="0" collapsed="false">
      <c r="B19" s="6" t="s">
        <v>254</v>
      </c>
      <c r="C19" s="47" t="s">
        <v>251</v>
      </c>
      <c r="D19" s="47" t="s">
        <v>251</v>
      </c>
      <c r="E19" s="47" t="s">
        <v>251</v>
      </c>
      <c r="F19" s="47" t="s">
        <v>251</v>
      </c>
      <c r="G19" s="35" t="n">
        <v>5159.6</v>
      </c>
    </row>
    <row r="20" customFormat="false" ht="15" hidden="false" customHeight="false" outlineLevel="0" collapsed="false">
      <c r="B20" s="48" t="s">
        <v>255</v>
      </c>
      <c r="C20" s="33" t="n">
        <f aca="false">SUM(C15,C16,C17,C18,C19)</f>
        <v>4023.4</v>
      </c>
      <c r="D20" s="33" t="n">
        <f aca="false">SUM(D15,D16,D17,D18,D19)</f>
        <v>8388.4</v>
      </c>
      <c r="E20" s="33" t="n">
        <f aca="false">SUM(E15,E16,E17,E18,E19)</f>
        <v>12940.2</v>
      </c>
      <c r="F20" s="33" t="n">
        <f aca="false">SUM(F15,F16,F17,F18,F19)</f>
        <v>17831.4</v>
      </c>
      <c r="G20" s="33" t="n">
        <f aca="false">SUM(G15,G16,G17,G18,G19)</f>
        <v>22991</v>
      </c>
    </row>
    <row r="22" customFormat="false" ht="15.75" hidden="false" customHeight="true" outlineLevel="0" collapsed="false">
      <c r="B22" s="5" t="s">
        <v>256</v>
      </c>
      <c r="C22" s="5"/>
      <c r="D22" s="5"/>
      <c r="E22" s="5"/>
      <c r="F22" s="5"/>
      <c r="G22" s="5"/>
    </row>
    <row r="23" customFormat="false" ht="15" hidden="false" customHeight="false" outlineLevel="0" collapsed="false">
      <c r="B23" s="28" t="s">
        <v>257</v>
      </c>
      <c r="C23" s="49" t="n">
        <f aca="false">C11</f>
        <v>20117</v>
      </c>
      <c r="D23" s="49" t="n">
        <f aca="false">D11</f>
        <v>21825</v>
      </c>
      <c r="E23" s="49" t="n">
        <f aca="false">E11</f>
        <v>22759</v>
      </c>
      <c r="F23" s="49" t="n">
        <f aca="false">F11</f>
        <v>24456</v>
      </c>
      <c r="G23" s="49" t="n">
        <f aca="false">G11</f>
        <v>25798</v>
      </c>
    </row>
    <row r="24" customFormat="false" ht="15" hidden="false" customHeight="false" outlineLevel="0" collapsed="false">
      <c r="B24" s="6" t="s">
        <v>258</v>
      </c>
      <c r="C24" s="35" t="n">
        <f aca="false">C20</f>
        <v>4023.4</v>
      </c>
      <c r="D24" s="35" t="n">
        <f aca="false">D20</f>
        <v>8388.4</v>
      </c>
      <c r="E24" s="35" t="n">
        <f aca="false">E20</f>
        <v>12940.2</v>
      </c>
      <c r="F24" s="35" t="n">
        <f aca="false">F20</f>
        <v>17831.4</v>
      </c>
      <c r="G24" s="35" t="n">
        <f aca="false">G20</f>
        <v>22991</v>
      </c>
    </row>
    <row r="25" customFormat="false" ht="15" hidden="false" customHeight="false" outlineLevel="0" collapsed="false">
      <c r="B25" s="28" t="s">
        <v>259</v>
      </c>
      <c r="C25" s="49" t="n">
        <f aca="false">C23-C24</f>
        <v>16093.6</v>
      </c>
      <c r="D25" s="49" t="n">
        <f aca="false">D23-D24</f>
        <v>13436.6</v>
      </c>
      <c r="E25" s="49" t="n">
        <f aca="false">E23-E24</f>
        <v>9818.8</v>
      </c>
      <c r="F25" s="49" t="n">
        <f aca="false">F23-F24</f>
        <v>6624.6</v>
      </c>
      <c r="G25" s="49" t="n">
        <f aca="false">G23-G24</f>
        <v>2807</v>
      </c>
    </row>
    <row r="26" customFormat="false" ht="15" hidden="false" customHeight="false" outlineLevel="0" collapsed="false">
      <c r="B26" s="32" t="s">
        <v>260</v>
      </c>
      <c r="C26" s="50" t="n">
        <v>16094</v>
      </c>
      <c r="D26" s="50" t="n">
        <v>29530</v>
      </c>
      <c r="E26" s="50" t="n">
        <v>39349</v>
      </c>
      <c r="F26" s="50" t="n">
        <v>45974</v>
      </c>
      <c r="G26" s="50" t="n">
        <v>48781</v>
      </c>
    </row>
    <row r="27" customFormat="false" ht="15" hidden="false" customHeight="false" outlineLevel="0" collapsed="false">
      <c r="B27" s="6" t="s">
        <v>261</v>
      </c>
      <c r="C27" s="12" t="n">
        <f aca="false">C25/C23</f>
        <v>0.8</v>
      </c>
      <c r="D27" s="12" t="n">
        <f aca="false">D25/D23</f>
        <v>0.615651775486827</v>
      </c>
      <c r="E27" s="12" t="n">
        <f aca="false">E25/E23</f>
        <v>0.431424930796608</v>
      </c>
      <c r="F27" s="12" t="n">
        <f aca="false">F25/F23</f>
        <v>0.270878312070657</v>
      </c>
      <c r="G27" s="12" t="n">
        <f aca="false">G25/G23</f>
        <v>0.108806884254593</v>
      </c>
    </row>
    <row r="29" customFormat="false" ht="15" hidden="false" customHeight="false" outlineLevel="0" collapsed="false">
      <c r="B29" s="16" t="s">
        <v>85</v>
      </c>
      <c r="C29" s="16"/>
      <c r="D29" s="16"/>
      <c r="E29" s="16"/>
      <c r="F29" s="16"/>
      <c r="G29" s="16"/>
    </row>
  </sheetData>
  <mergeCells count="6">
    <mergeCell ref="B2:G2"/>
    <mergeCell ref="B4:G4"/>
    <mergeCell ref="B9:G9"/>
    <mergeCell ref="B13:G13"/>
    <mergeCell ref="B22:G22"/>
    <mergeCell ref="B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B2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9" min="3" style="0" width="13"/>
  </cols>
  <sheetData>
    <row r="2" customFormat="false" ht="15" hidden="false" customHeight="false" outlineLevel="0" collapsed="false">
      <c r="B2" s="17" t="s">
        <v>262</v>
      </c>
      <c r="C2" s="17"/>
      <c r="D2" s="17"/>
      <c r="E2" s="17"/>
      <c r="F2" s="17"/>
      <c r="G2" s="17"/>
      <c r="H2" s="17"/>
    </row>
    <row r="4" customFormat="false" ht="15.75" hidden="false" customHeight="true" outlineLevel="0" collapsed="false">
      <c r="B4" s="5" t="s">
        <v>237</v>
      </c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B5" s="6" t="s">
        <v>238</v>
      </c>
      <c r="C5" s="10" t="n">
        <v>6</v>
      </c>
      <c r="D5" s="9" t="s">
        <v>263</v>
      </c>
    </row>
    <row r="6" customFormat="false" ht="15" hidden="false" customHeight="false" outlineLevel="0" collapsed="false">
      <c r="B6" s="6" t="s">
        <v>264</v>
      </c>
      <c r="C6" s="9" t="s">
        <v>265</v>
      </c>
    </row>
    <row r="7" customFormat="false" ht="15" hidden="false" customHeight="false" outlineLevel="0" collapsed="false">
      <c r="B7" s="6" t="s">
        <v>242</v>
      </c>
      <c r="C7" s="9" t="s">
        <v>266</v>
      </c>
    </row>
    <row r="9" customFormat="false" ht="15.75" hidden="false" customHeight="true" outlineLevel="0" collapsed="false">
      <c r="B9" s="5" t="s">
        <v>267</v>
      </c>
      <c r="C9" s="5"/>
      <c r="D9" s="5"/>
      <c r="E9" s="5"/>
      <c r="F9" s="5"/>
      <c r="G9" s="5"/>
      <c r="H9" s="5"/>
    </row>
    <row r="10" customFormat="false" ht="15.75" hidden="false" customHeight="true" outlineLevel="0" collapsed="false">
      <c r="B10" s="19" t="s">
        <v>245</v>
      </c>
      <c r="C10" s="19" t="s">
        <v>268</v>
      </c>
      <c r="D10" s="19" t="s">
        <v>89</v>
      </c>
      <c r="E10" s="19" t="s">
        <v>90</v>
      </c>
      <c r="F10" s="19" t="s">
        <v>91</v>
      </c>
      <c r="G10" s="19" t="s">
        <v>92</v>
      </c>
      <c r="H10" s="19" t="s">
        <v>93</v>
      </c>
    </row>
    <row r="11" customFormat="false" ht="15" hidden="false" customHeight="false" outlineLevel="0" collapsed="false">
      <c r="B11" s="6" t="s">
        <v>269</v>
      </c>
      <c r="C11" s="24" t="n">
        <v>19269</v>
      </c>
      <c r="D11" s="24" t="n">
        <v>20716</v>
      </c>
      <c r="E11" s="24" t="n">
        <v>24512</v>
      </c>
      <c r="F11" s="24" t="n">
        <v>27195</v>
      </c>
      <c r="G11" s="24" t="n">
        <v>29510</v>
      </c>
      <c r="H11" s="24" t="n">
        <v>32704</v>
      </c>
    </row>
    <row r="13" customFormat="false" ht="15.75" hidden="false" customHeight="true" outlineLevel="0" collapsed="false">
      <c r="B13" s="5" t="s">
        <v>247</v>
      </c>
      <c r="C13" s="5"/>
      <c r="D13" s="5"/>
      <c r="E13" s="5"/>
      <c r="F13" s="5"/>
      <c r="G13" s="5"/>
      <c r="H13" s="5"/>
    </row>
    <row r="14" customFormat="false" ht="15.75" hidden="false" customHeight="true" outlineLevel="0" collapsed="false">
      <c r="B14" s="19" t="s">
        <v>248</v>
      </c>
      <c r="C14" s="19" t="s">
        <v>268</v>
      </c>
      <c r="D14" s="19" t="s">
        <v>89</v>
      </c>
      <c r="E14" s="19" t="s">
        <v>90</v>
      </c>
      <c r="F14" s="19" t="s">
        <v>91</v>
      </c>
      <c r="G14" s="19" t="s">
        <v>92</v>
      </c>
      <c r="H14" s="19" t="s">
        <v>93</v>
      </c>
    </row>
    <row r="15" customFormat="false" ht="15" hidden="false" customHeight="false" outlineLevel="0" collapsed="false">
      <c r="B15" s="6" t="s">
        <v>270</v>
      </c>
      <c r="C15" s="35" t="n">
        <v>3211.5</v>
      </c>
      <c r="D15" s="35" t="n">
        <v>3211.5</v>
      </c>
      <c r="E15" s="35" t="n">
        <v>3211.5</v>
      </c>
      <c r="F15" s="35" t="n">
        <v>3211.5</v>
      </c>
      <c r="G15" s="35" t="n">
        <v>3211.5</v>
      </c>
      <c r="H15" s="35" t="n">
        <v>3211.5</v>
      </c>
    </row>
    <row r="16" customFormat="false" ht="15" hidden="false" customHeight="false" outlineLevel="0" collapsed="false">
      <c r="B16" s="6" t="s">
        <v>249</v>
      </c>
      <c r="C16" s="47" t="s">
        <v>251</v>
      </c>
      <c r="D16" s="35" t="n">
        <v>3452.66666666667</v>
      </c>
      <c r="E16" s="35" t="n">
        <v>3452.66666666667</v>
      </c>
      <c r="F16" s="35" t="n">
        <v>3452.66666666667</v>
      </c>
      <c r="G16" s="35" t="n">
        <v>3452.66666666667</v>
      </c>
      <c r="H16" s="35" t="n">
        <v>3452.66666666667</v>
      </c>
    </row>
    <row r="17" customFormat="false" ht="15" hidden="false" customHeight="false" outlineLevel="0" collapsed="false">
      <c r="B17" s="6" t="s">
        <v>250</v>
      </c>
      <c r="C17" s="47" t="s">
        <v>251</v>
      </c>
      <c r="D17" s="47" t="s">
        <v>251</v>
      </c>
      <c r="E17" s="35" t="n">
        <v>4085.33333333333</v>
      </c>
      <c r="F17" s="35" t="n">
        <v>4085.33333333333</v>
      </c>
      <c r="G17" s="35" t="n">
        <v>4085.33333333333</v>
      </c>
      <c r="H17" s="35" t="n">
        <v>4085.33333333333</v>
      </c>
    </row>
    <row r="18" customFormat="false" ht="15" hidden="false" customHeight="false" outlineLevel="0" collapsed="false">
      <c r="B18" s="6" t="s">
        <v>252</v>
      </c>
      <c r="C18" s="47" t="s">
        <v>251</v>
      </c>
      <c r="D18" s="47" t="s">
        <v>251</v>
      </c>
      <c r="E18" s="47" t="s">
        <v>251</v>
      </c>
      <c r="F18" s="35" t="n">
        <v>4532.5</v>
      </c>
      <c r="G18" s="35" t="n">
        <v>4532.5</v>
      </c>
      <c r="H18" s="35" t="n">
        <v>4532.5</v>
      </c>
    </row>
    <row r="19" customFormat="false" ht="15" hidden="false" customHeight="false" outlineLevel="0" collapsed="false">
      <c r="B19" s="6" t="s">
        <v>253</v>
      </c>
      <c r="C19" s="47" t="s">
        <v>251</v>
      </c>
      <c r="D19" s="47" t="s">
        <v>251</v>
      </c>
      <c r="E19" s="47" t="s">
        <v>251</v>
      </c>
      <c r="F19" s="47" t="s">
        <v>251</v>
      </c>
      <c r="G19" s="35" t="n">
        <v>4918.33333333333</v>
      </c>
      <c r="H19" s="35" t="n">
        <v>4918.33333333333</v>
      </c>
    </row>
    <row r="20" customFormat="false" ht="15" hidden="false" customHeight="false" outlineLevel="0" collapsed="false">
      <c r="B20" s="6" t="s">
        <v>254</v>
      </c>
      <c r="C20" s="47" t="s">
        <v>251</v>
      </c>
      <c r="D20" s="47" t="s">
        <v>251</v>
      </c>
      <c r="E20" s="47" t="s">
        <v>251</v>
      </c>
      <c r="F20" s="47" t="s">
        <v>251</v>
      </c>
      <c r="G20" s="47" t="s">
        <v>251</v>
      </c>
      <c r="H20" s="35" t="n">
        <v>5450.66666666667</v>
      </c>
    </row>
    <row r="21" customFormat="false" ht="15" hidden="false" customHeight="false" outlineLevel="0" collapsed="false">
      <c r="B21" s="48" t="s">
        <v>255</v>
      </c>
      <c r="C21" s="33" t="n">
        <f aca="false">SUM(C15,C16,C17,C18,C19,C20)</f>
        <v>3211.5</v>
      </c>
      <c r="D21" s="33" t="n">
        <f aca="false">SUM(D15,D16,D17,D18,D19,D20)</f>
        <v>6664.16666666667</v>
      </c>
      <c r="E21" s="33" t="n">
        <f aca="false">SUM(E15,E16,E17,E18,E19,E20)</f>
        <v>10749.5</v>
      </c>
      <c r="F21" s="33" t="n">
        <f aca="false">SUM(F15,F16,F17,F18,F19,F20)</f>
        <v>15282</v>
      </c>
      <c r="G21" s="33" t="n">
        <f aca="false">SUM(G15,G16,G17,G18,G19,G20)</f>
        <v>20200.3333333333</v>
      </c>
      <c r="H21" s="33" t="n">
        <f aca="false">SUM(H15,H16,H17,H18,H19,H20)</f>
        <v>25651</v>
      </c>
    </row>
    <row r="23" customFormat="false" ht="15.75" hidden="false" customHeight="true" outlineLevel="0" collapsed="false">
      <c r="B23" s="5" t="s">
        <v>271</v>
      </c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B24" s="28" t="s">
        <v>272</v>
      </c>
      <c r="C24" s="49" t="n">
        <f aca="false">C11</f>
        <v>19269</v>
      </c>
      <c r="D24" s="49" t="n">
        <f aca="false">D11</f>
        <v>20716</v>
      </c>
      <c r="E24" s="49" t="n">
        <f aca="false">E11</f>
        <v>24512</v>
      </c>
      <c r="F24" s="49" t="n">
        <f aca="false">F11</f>
        <v>27195</v>
      </c>
      <c r="G24" s="49" t="n">
        <f aca="false">G11</f>
        <v>29510</v>
      </c>
      <c r="H24" s="49" t="n">
        <f aca="false">H11</f>
        <v>32704</v>
      </c>
    </row>
    <row r="25" customFormat="false" ht="15" hidden="false" customHeight="false" outlineLevel="0" collapsed="false">
      <c r="B25" s="6" t="s">
        <v>258</v>
      </c>
      <c r="C25" s="35" t="n">
        <f aca="false">C21</f>
        <v>3211.5</v>
      </c>
      <c r="D25" s="35" t="n">
        <f aca="false">D21</f>
        <v>6664.16666666667</v>
      </c>
      <c r="E25" s="35" t="n">
        <f aca="false">E21</f>
        <v>10749.5</v>
      </c>
      <c r="F25" s="35" t="n">
        <f aca="false">F21</f>
        <v>15282</v>
      </c>
      <c r="G25" s="35" t="n">
        <f aca="false">G21</f>
        <v>20200.3333333333</v>
      </c>
      <c r="H25" s="35" t="n">
        <f aca="false">H21</f>
        <v>25651</v>
      </c>
    </row>
    <row r="26" customFormat="false" ht="15" hidden="false" customHeight="false" outlineLevel="0" collapsed="false">
      <c r="B26" s="28" t="s">
        <v>273</v>
      </c>
      <c r="C26" s="49" t="n">
        <f aca="false">C24-C25</f>
        <v>16057.5</v>
      </c>
      <c r="D26" s="49" t="n">
        <f aca="false">D24-D25</f>
        <v>14051.8333333333</v>
      </c>
      <c r="E26" s="49" t="n">
        <f aca="false">E24-E25</f>
        <v>13762.5</v>
      </c>
      <c r="F26" s="49" t="n">
        <f aca="false">F24-F25</f>
        <v>11913</v>
      </c>
      <c r="G26" s="49" t="n">
        <f aca="false">G24-G25</f>
        <v>9309.66666666667</v>
      </c>
      <c r="H26" s="49" t="n">
        <f aca="false">H24-H25</f>
        <v>7053</v>
      </c>
    </row>
    <row r="27" customFormat="false" ht="15" hidden="false" customHeight="false" outlineLevel="0" collapsed="false">
      <c r="B27" s="32" t="s">
        <v>274</v>
      </c>
      <c r="C27" s="50" t="n">
        <v>16058</v>
      </c>
      <c r="D27" s="50" t="n">
        <v>30109</v>
      </c>
      <c r="E27" s="50" t="n">
        <v>43872</v>
      </c>
      <c r="F27" s="50" t="n">
        <v>55785</v>
      </c>
      <c r="G27" s="50" t="n">
        <v>65094</v>
      </c>
      <c r="H27" s="50" t="n">
        <v>72148</v>
      </c>
    </row>
    <row r="28" customFormat="false" ht="15" hidden="false" customHeight="false" outlineLevel="0" collapsed="false">
      <c r="B28" s="6" t="s">
        <v>275</v>
      </c>
      <c r="C28" s="12" t="n">
        <f aca="false">C26/C24</f>
        <v>0.833333333333333</v>
      </c>
      <c r="D28" s="12" t="n">
        <f aca="false">D26/D24</f>
        <v>0.678308231962412</v>
      </c>
      <c r="E28" s="12" t="n">
        <f aca="false">E26/E24</f>
        <v>0.561459693211488</v>
      </c>
      <c r="F28" s="12" t="n">
        <f aca="false">F26/F24</f>
        <v>0.438058466629895</v>
      </c>
      <c r="G28" s="12" t="n">
        <f aca="false">G26/G24</f>
        <v>0.31547498023269</v>
      </c>
      <c r="H28" s="12" t="n">
        <f aca="false">H26/H24</f>
        <v>0.215661692759296</v>
      </c>
    </row>
    <row r="30" customFormat="false" ht="15" hidden="false" customHeight="false" outlineLevel="0" collapsed="false">
      <c r="B30" s="16" t="s">
        <v>85</v>
      </c>
      <c r="C30" s="16"/>
      <c r="D30" s="16"/>
      <c r="E30" s="16"/>
      <c r="F30" s="16"/>
      <c r="G30" s="16"/>
      <c r="H30" s="16"/>
    </row>
  </sheetData>
  <mergeCells count="6">
    <mergeCell ref="B2:H2"/>
    <mergeCell ref="B4:H4"/>
    <mergeCell ref="B9:H9"/>
    <mergeCell ref="B13:H13"/>
    <mergeCell ref="B23:H23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2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40"/>
  </cols>
  <sheetData>
    <row r="2" customFormat="false" ht="15" hidden="false" customHeight="false" outlineLevel="0" collapsed="false">
      <c r="B2" s="17" t="s">
        <v>276</v>
      </c>
      <c r="C2" s="17"/>
      <c r="D2" s="17"/>
      <c r="E2" s="17"/>
      <c r="F2" s="17"/>
    </row>
    <row r="3" customFormat="false" ht="15" hidden="false" customHeight="false" outlineLevel="0" collapsed="false">
      <c r="B3" s="18" t="s">
        <v>277</v>
      </c>
      <c r="C3" s="18"/>
      <c r="D3" s="18"/>
      <c r="E3" s="18"/>
      <c r="F3" s="18"/>
    </row>
    <row r="5" customFormat="false" ht="15.75" hidden="false" customHeight="true" outlineLevel="0" collapsed="false">
      <c r="B5" s="19" t="s">
        <v>278</v>
      </c>
      <c r="C5" s="19" t="s">
        <v>279</v>
      </c>
      <c r="D5" s="19" t="s">
        <v>280</v>
      </c>
      <c r="E5" s="19" t="s">
        <v>281</v>
      </c>
      <c r="F5" s="19" t="s">
        <v>282</v>
      </c>
    </row>
    <row r="6" customFormat="false" ht="15.75" hidden="false" customHeight="true" outlineLevel="0" collapsed="false">
      <c r="B6" s="5" t="s">
        <v>283</v>
      </c>
      <c r="C6" s="5"/>
      <c r="D6" s="5"/>
      <c r="E6" s="5"/>
      <c r="F6" s="5"/>
    </row>
    <row r="7" customFormat="false" ht="18" hidden="false" customHeight="true" outlineLevel="0" collapsed="false">
      <c r="B7" s="6" t="s">
        <v>121</v>
      </c>
      <c r="C7" s="24" t="n">
        <v>30242</v>
      </c>
      <c r="D7" s="51" t="n">
        <v>1</v>
      </c>
      <c r="E7" s="35" t="n">
        <v>30242</v>
      </c>
      <c r="F7" s="44" t="s">
        <v>284</v>
      </c>
    </row>
    <row r="8" customFormat="false" ht="18" hidden="false" customHeight="true" outlineLevel="0" collapsed="false">
      <c r="B8" s="6" t="s">
        <v>122</v>
      </c>
      <c r="C8" s="24" t="n">
        <v>64323</v>
      </c>
      <c r="D8" s="51" t="n">
        <v>1</v>
      </c>
      <c r="E8" s="35" t="n">
        <v>64323</v>
      </c>
      <c r="F8" s="44" t="s">
        <v>285</v>
      </c>
    </row>
    <row r="9" customFormat="false" ht="18" hidden="false" customHeight="true" outlineLevel="0" collapsed="false">
      <c r="B9" s="6" t="s">
        <v>123</v>
      </c>
      <c r="C9" s="24" t="n">
        <v>69905</v>
      </c>
      <c r="D9" s="51" t="n">
        <v>0.97</v>
      </c>
      <c r="E9" s="35" t="n">
        <v>67808</v>
      </c>
      <c r="F9" s="44" t="s">
        <v>286</v>
      </c>
    </row>
    <row r="10" customFormat="false" ht="18" hidden="false" customHeight="true" outlineLevel="0" collapsed="false">
      <c r="B10" s="6" t="s">
        <v>124</v>
      </c>
      <c r="C10" s="24" t="n">
        <v>938</v>
      </c>
      <c r="D10" s="51" t="n">
        <v>0.85</v>
      </c>
      <c r="E10" s="35" t="n">
        <v>797</v>
      </c>
      <c r="F10" s="44" t="s">
        <v>287</v>
      </c>
    </row>
    <row r="11" customFormat="false" ht="18" hidden="false" customHeight="true" outlineLevel="0" collapsed="false">
      <c r="B11" s="6" t="s">
        <v>128</v>
      </c>
      <c r="C11" s="24" t="n">
        <v>204966</v>
      </c>
      <c r="D11" s="51" t="n">
        <v>1.1</v>
      </c>
      <c r="E11" s="35" t="n">
        <v>225463</v>
      </c>
      <c r="F11" s="44" t="s">
        <v>288</v>
      </c>
    </row>
    <row r="12" customFormat="false" ht="18" hidden="false" customHeight="true" outlineLevel="0" collapsed="false">
      <c r="B12" s="6" t="s">
        <v>289</v>
      </c>
      <c r="C12" s="24" t="n">
        <v>24823</v>
      </c>
      <c r="D12" s="51" t="n">
        <v>0.75</v>
      </c>
      <c r="E12" s="35" t="n">
        <v>18617</v>
      </c>
      <c r="F12" s="44" t="s">
        <v>290</v>
      </c>
    </row>
    <row r="13" customFormat="false" ht="18" hidden="false" customHeight="true" outlineLevel="0" collapsed="false">
      <c r="B13" s="6" t="s">
        <v>125</v>
      </c>
      <c r="C13" s="24" t="n">
        <v>25723</v>
      </c>
      <c r="D13" s="51" t="n">
        <v>0.8</v>
      </c>
      <c r="E13" s="35" t="n">
        <v>20578</v>
      </c>
      <c r="F13" s="44" t="s">
        <v>291</v>
      </c>
    </row>
    <row r="14" customFormat="false" ht="18" hidden="false" customHeight="true" outlineLevel="0" collapsed="false">
      <c r="B14" s="6" t="s">
        <v>292</v>
      </c>
      <c r="C14" s="24" t="n">
        <v>15405</v>
      </c>
      <c r="D14" s="51" t="n">
        <v>1</v>
      </c>
      <c r="E14" s="35" t="n">
        <v>15405</v>
      </c>
      <c r="F14" s="44" t="s">
        <v>293</v>
      </c>
    </row>
    <row r="15" customFormat="false" ht="18" hidden="false" customHeight="true" outlineLevel="0" collapsed="false">
      <c r="B15" s="52" t="s">
        <v>294</v>
      </c>
      <c r="C15" s="53"/>
      <c r="D15" s="53"/>
      <c r="E15" s="26" t="n">
        <v>443233</v>
      </c>
      <c r="F15" s="44"/>
    </row>
    <row r="17" customFormat="false" ht="15.75" hidden="false" customHeight="true" outlineLevel="0" collapsed="false">
      <c r="B17" s="5" t="s">
        <v>295</v>
      </c>
      <c r="C17" s="5"/>
      <c r="D17" s="5"/>
      <c r="E17" s="5"/>
      <c r="F17" s="5"/>
    </row>
    <row r="18" customFormat="false" ht="18" hidden="false" customHeight="true" outlineLevel="0" collapsed="false">
      <c r="B18" s="6" t="s">
        <v>296</v>
      </c>
      <c r="C18" s="24" t="n">
        <v>48780.6</v>
      </c>
      <c r="D18" s="51" t="n">
        <v>1</v>
      </c>
      <c r="E18" s="35" t="n">
        <v>48781</v>
      </c>
      <c r="F18" s="44" t="s">
        <v>297</v>
      </c>
    </row>
    <row r="19" customFormat="false" ht="18" hidden="false" customHeight="true" outlineLevel="0" collapsed="false">
      <c r="B19" s="6" t="s">
        <v>298</v>
      </c>
      <c r="C19" s="24" t="n">
        <v>72147.5</v>
      </c>
      <c r="D19" s="51" t="n">
        <v>1</v>
      </c>
      <c r="E19" s="35" t="n">
        <v>72148</v>
      </c>
      <c r="F19" s="44" t="s">
        <v>299</v>
      </c>
    </row>
    <row r="20" customFormat="false" ht="18" hidden="false" customHeight="true" outlineLevel="0" collapsed="false">
      <c r="B20" s="6" t="s">
        <v>300</v>
      </c>
      <c r="C20" s="24" t="n">
        <v>0</v>
      </c>
      <c r="E20" s="35" t="n">
        <v>108352</v>
      </c>
      <c r="F20" s="44" t="s">
        <v>301</v>
      </c>
    </row>
    <row r="21" customFormat="false" ht="18" hidden="false" customHeight="true" outlineLevel="0" collapsed="false">
      <c r="B21" s="6" t="s">
        <v>302</v>
      </c>
      <c r="C21" s="24" t="n">
        <v>119509</v>
      </c>
      <c r="D21" s="51" t="n">
        <v>0</v>
      </c>
      <c r="E21" s="35" t="n">
        <v>0</v>
      </c>
      <c r="F21" s="44" t="s">
        <v>303</v>
      </c>
    </row>
    <row r="22" customFormat="false" ht="18" hidden="false" customHeight="true" outlineLevel="0" collapsed="false">
      <c r="B22" s="6" t="s">
        <v>304</v>
      </c>
      <c r="C22" s="24" t="n">
        <v>22604</v>
      </c>
      <c r="D22" s="51" t="n">
        <v>0.7</v>
      </c>
      <c r="E22" s="35" t="n">
        <v>15823</v>
      </c>
      <c r="F22" s="44" t="s">
        <v>305</v>
      </c>
    </row>
    <row r="23" customFormat="false" ht="18" hidden="false" customHeight="true" outlineLevel="0" collapsed="false">
      <c r="B23" s="52" t="s">
        <v>306</v>
      </c>
      <c r="C23" s="53"/>
      <c r="D23" s="53"/>
      <c r="E23" s="26" t="n">
        <v>245104</v>
      </c>
      <c r="F23" s="44"/>
    </row>
    <row r="25" customFormat="false" ht="15.75" hidden="false" customHeight="true" outlineLevel="0" collapsed="false">
      <c r="B25" s="5" t="s">
        <v>307</v>
      </c>
      <c r="C25" s="5"/>
      <c r="D25" s="5"/>
      <c r="E25" s="5"/>
      <c r="F25" s="5"/>
    </row>
    <row r="26" customFormat="false" ht="18" hidden="false" customHeight="true" outlineLevel="0" collapsed="false">
      <c r="B26" s="6" t="s">
        <v>308</v>
      </c>
      <c r="C26" s="24" t="n">
        <v>8000</v>
      </c>
      <c r="D26" s="51" t="n">
        <v>0.5</v>
      </c>
      <c r="E26" s="35" t="n">
        <v>4000</v>
      </c>
      <c r="F26" s="44" t="s">
        <v>309</v>
      </c>
    </row>
    <row r="27" customFormat="false" ht="18" hidden="false" customHeight="true" outlineLevel="0" collapsed="false">
      <c r="B27" s="6" t="s">
        <v>310</v>
      </c>
      <c r="C27" s="24" t="n">
        <v>32565</v>
      </c>
      <c r="D27" s="51" t="n">
        <v>0.7</v>
      </c>
      <c r="E27" s="35" t="n">
        <v>22796</v>
      </c>
      <c r="F27" s="44" t="s">
        <v>311</v>
      </c>
    </row>
    <row r="28" customFormat="false" ht="18" hidden="false" customHeight="true" outlineLevel="0" collapsed="false">
      <c r="B28" s="52" t="s">
        <v>312</v>
      </c>
      <c r="C28" s="53"/>
      <c r="D28" s="53"/>
      <c r="E28" s="26" t="n">
        <v>26796</v>
      </c>
      <c r="F28" s="44"/>
    </row>
    <row r="29" customFormat="false" ht="18" hidden="false" customHeight="true" outlineLevel="0" collapsed="false">
      <c r="B29" s="52" t="s">
        <v>313</v>
      </c>
      <c r="C29" s="53"/>
      <c r="D29" s="53"/>
      <c r="E29" s="26" t="n">
        <v>715133</v>
      </c>
      <c r="F29" s="44"/>
    </row>
    <row r="31" customFormat="false" ht="15.75" hidden="false" customHeight="true" outlineLevel="0" collapsed="false">
      <c r="B31" s="5" t="s">
        <v>135</v>
      </c>
      <c r="C31" s="5"/>
      <c r="D31" s="5"/>
      <c r="E31" s="5"/>
      <c r="F31" s="5"/>
    </row>
    <row r="32" customFormat="false" ht="18" hidden="false" customHeight="true" outlineLevel="0" collapsed="false">
      <c r="B32" s="6" t="s">
        <v>144</v>
      </c>
      <c r="C32" s="24" t="n">
        <v>141218</v>
      </c>
      <c r="D32" s="51" t="n">
        <v>1</v>
      </c>
      <c r="E32" s="35" t="n">
        <v>141218</v>
      </c>
      <c r="F32" s="44" t="s">
        <v>314</v>
      </c>
    </row>
    <row r="33" customFormat="false" ht="18" hidden="false" customHeight="true" outlineLevel="0" collapsed="false">
      <c r="B33" s="6" t="s">
        <v>146</v>
      </c>
      <c r="C33" s="24" t="n">
        <v>40152</v>
      </c>
      <c r="D33" s="51" t="n">
        <v>1</v>
      </c>
      <c r="E33" s="35" t="n">
        <v>40152</v>
      </c>
      <c r="F33" s="44" t="s">
        <v>314</v>
      </c>
    </row>
    <row r="34" customFormat="false" ht="18" hidden="false" customHeight="true" outlineLevel="0" collapsed="false">
      <c r="B34" s="6" t="s">
        <v>147</v>
      </c>
      <c r="C34" s="24" t="n">
        <v>25986</v>
      </c>
      <c r="D34" s="51" t="n">
        <v>1</v>
      </c>
      <c r="E34" s="35" t="n">
        <v>25986</v>
      </c>
      <c r="F34" s="44" t="s">
        <v>314</v>
      </c>
    </row>
    <row r="35" customFormat="false" ht="18" hidden="false" customHeight="true" outlineLevel="0" collapsed="false">
      <c r="B35" s="6" t="s">
        <v>148</v>
      </c>
      <c r="C35" s="24" t="n">
        <v>2710</v>
      </c>
      <c r="D35" s="51" t="n">
        <v>1</v>
      </c>
      <c r="E35" s="35" t="n">
        <v>2710</v>
      </c>
      <c r="F35" s="44" t="s">
        <v>314</v>
      </c>
    </row>
    <row r="36" customFormat="false" ht="18" hidden="false" customHeight="true" outlineLevel="0" collapsed="false">
      <c r="B36" s="6" t="s">
        <v>315</v>
      </c>
      <c r="C36" s="24" t="n">
        <v>2835</v>
      </c>
      <c r="D36" s="51" t="n">
        <v>1</v>
      </c>
      <c r="E36" s="35" t="n">
        <v>2835</v>
      </c>
      <c r="F36" s="44" t="s">
        <v>314</v>
      </c>
    </row>
    <row r="37" customFormat="false" ht="18" hidden="false" customHeight="true" outlineLevel="0" collapsed="false">
      <c r="B37" s="6" t="s">
        <v>150</v>
      </c>
      <c r="C37" s="24" t="n">
        <v>17437</v>
      </c>
      <c r="D37" s="51" t="n">
        <v>1</v>
      </c>
      <c r="E37" s="35" t="n">
        <v>17437</v>
      </c>
      <c r="F37" s="44" t="s">
        <v>314</v>
      </c>
    </row>
    <row r="38" customFormat="false" ht="18" hidden="false" customHeight="true" outlineLevel="0" collapsed="false">
      <c r="B38" s="6" t="s">
        <v>151</v>
      </c>
      <c r="C38" s="24" t="n">
        <v>45186</v>
      </c>
      <c r="D38" s="51" t="n">
        <v>1</v>
      </c>
      <c r="E38" s="35" t="n">
        <v>45186</v>
      </c>
      <c r="F38" s="44" t="s">
        <v>314</v>
      </c>
    </row>
    <row r="39" customFormat="false" ht="18" hidden="false" customHeight="true" outlineLevel="0" collapsed="false">
      <c r="B39" s="52" t="s">
        <v>316</v>
      </c>
      <c r="C39" s="53"/>
      <c r="D39" s="53"/>
      <c r="E39" s="26" t="n">
        <v>275524</v>
      </c>
      <c r="F39" s="44"/>
    </row>
    <row r="41" customFormat="false" ht="15.75" hidden="false" customHeight="true" outlineLevel="0" collapsed="false">
      <c r="B41" s="5" t="s">
        <v>317</v>
      </c>
      <c r="C41" s="5"/>
      <c r="D41" s="5"/>
      <c r="E41" s="5"/>
      <c r="F41" s="5"/>
    </row>
    <row r="42" customFormat="false" ht="18" hidden="false" customHeight="true" outlineLevel="0" collapsed="false">
      <c r="B42" s="6" t="s">
        <v>313</v>
      </c>
      <c r="E42" s="35" t="n">
        <v>715133</v>
      </c>
      <c r="F42" s="44"/>
    </row>
    <row r="43" customFormat="false" ht="18" hidden="false" customHeight="true" outlineLevel="0" collapsed="false">
      <c r="B43" s="6" t="s">
        <v>318</v>
      </c>
      <c r="E43" s="35" t="n">
        <v>-275524</v>
      </c>
      <c r="F43" s="44" t="s">
        <v>319</v>
      </c>
    </row>
    <row r="44" customFormat="false" ht="15" hidden="false" customHeight="false" outlineLevel="0" collapsed="false">
      <c r="B44" s="48" t="s">
        <v>320</v>
      </c>
      <c r="C44" s="54"/>
      <c r="D44" s="54"/>
      <c r="E44" s="33" t="n">
        <v>439609</v>
      </c>
      <c r="F44" s="54"/>
    </row>
    <row r="45" customFormat="false" ht="15" hidden="false" customHeight="false" outlineLevel="0" collapsed="false">
      <c r="B45" s="6" t="s">
        <v>24</v>
      </c>
      <c r="E45" s="10" t="n">
        <v>7464</v>
      </c>
    </row>
    <row r="46" customFormat="false" ht="15" hidden="false" customHeight="false" outlineLevel="0" collapsed="false">
      <c r="B46" s="52" t="s">
        <v>321</v>
      </c>
      <c r="C46" s="53"/>
      <c r="D46" s="53"/>
      <c r="E46" s="55" t="n">
        <f aca="false">E44/E45</f>
        <v>58.8972400857449</v>
      </c>
    </row>
    <row r="48" customFormat="false" ht="39.75" hidden="false" customHeight="true" outlineLevel="0" collapsed="false">
      <c r="B48" s="56" t="s">
        <v>322</v>
      </c>
      <c r="C48" s="56"/>
      <c r="D48" s="56"/>
      <c r="E48" s="56"/>
      <c r="F48" s="56"/>
    </row>
    <row r="50" customFormat="false" ht="15" hidden="false" customHeight="false" outlineLevel="0" collapsed="false">
      <c r="B50" s="16" t="s">
        <v>85</v>
      </c>
      <c r="C50" s="16"/>
      <c r="D50" s="16"/>
      <c r="E50" s="16"/>
      <c r="F50" s="16"/>
    </row>
  </sheetData>
  <mergeCells count="9">
    <mergeCell ref="B2:F2"/>
    <mergeCell ref="B3:F3"/>
    <mergeCell ref="B6:F6"/>
    <mergeCell ref="B17:F17"/>
    <mergeCell ref="B25:F25"/>
    <mergeCell ref="B31:F31"/>
    <mergeCell ref="B41:F41"/>
    <mergeCell ref="B48:F48"/>
    <mergeCell ref="B50:F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B2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11" min="4" style="0" width="13"/>
  </cols>
  <sheetData>
    <row r="2" customFormat="false" ht="15" hidden="false" customHeight="false" outlineLevel="0" collapsed="false">
      <c r="B2" s="17" t="s">
        <v>323</v>
      </c>
      <c r="C2" s="17"/>
      <c r="D2" s="17"/>
      <c r="E2" s="17"/>
      <c r="F2" s="17"/>
      <c r="G2" s="17"/>
      <c r="H2" s="17"/>
      <c r="I2" s="17"/>
      <c r="J2" s="17"/>
      <c r="K2" s="17"/>
    </row>
    <row r="3" customFormat="false" ht="15" hidden="false" customHeight="false" outlineLevel="0" collapsed="false">
      <c r="B3" s="18" t="s">
        <v>324</v>
      </c>
      <c r="C3" s="18"/>
      <c r="D3" s="18"/>
      <c r="E3" s="18"/>
      <c r="F3" s="18"/>
      <c r="G3" s="18"/>
      <c r="H3" s="18"/>
      <c r="I3" s="18"/>
      <c r="J3" s="18"/>
      <c r="K3" s="18"/>
    </row>
    <row r="4" customFormat="false" ht="15.75" hidden="false" customHeight="true" outlineLevel="0" collapsed="false">
      <c r="B4" s="19" t="s">
        <v>278</v>
      </c>
      <c r="C4" s="19" t="s">
        <v>325</v>
      </c>
      <c r="D4" s="19" t="s">
        <v>268</v>
      </c>
      <c r="E4" s="19" t="s">
        <v>89</v>
      </c>
      <c r="F4" s="19" t="s">
        <v>90</v>
      </c>
      <c r="G4" s="19" t="s">
        <v>91</v>
      </c>
      <c r="H4" s="19" t="s">
        <v>92</v>
      </c>
      <c r="I4" s="19" t="s">
        <v>93</v>
      </c>
      <c r="J4" s="19" t="s">
        <v>326</v>
      </c>
    </row>
    <row r="5" customFormat="false" ht="15.75" hidden="false" customHeight="true" outlineLevel="0" collapsed="false">
      <c r="B5" s="5" t="s">
        <v>237</v>
      </c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B6" s="6" t="s">
        <v>327</v>
      </c>
      <c r="C6" s="57" t="n">
        <v>0.18</v>
      </c>
      <c r="D6" s="9" t="s">
        <v>328</v>
      </c>
    </row>
    <row r="7" customFormat="false" ht="15" hidden="false" customHeight="false" outlineLevel="0" collapsed="false">
      <c r="B7" s="6" t="s">
        <v>329</v>
      </c>
      <c r="C7" s="9" t="s">
        <v>330</v>
      </c>
    </row>
    <row r="8" customFormat="false" ht="24" hidden="false" customHeight="true" outlineLevel="0" collapsed="false">
      <c r="B8" s="6" t="s">
        <v>331</v>
      </c>
      <c r="C8" s="44" t="s">
        <v>332</v>
      </c>
    </row>
    <row r="9" customFormat="false" ht="53.7" hidden="false" customHeight="false" outlineLevel="0" collapsed="false">
      <c r="B9" s="6" t="s">
        <v>333</v>
      </c>
      <c r="C9" s="24" t="n">
        <v>318273</v>
      </c>
      <c r="D9" s="44" t="s">
        <v>334</v>
      </c>
    </row>
    <row r="10" customFormat="false" ht="30" hidden="false" customHeight="true" outlineLevel="0" collapsed="false">
      <c r="B10" s="6" t="s">
        <v>335</v>
      </c>
      <c r="C10" s="57" t="n">
        <v>0.34</v>
      </c>
      <c r="D10" s="44" t="s">
        <v>336</v>
      </c>
    </row>
    <row r="11" customFormat="false" ht="15" hidden="false" customHeight="false" outlineLevel="0" collapsed="false">
      <c r="B11" s="6" t="s">
        <v>337</v>
      </c>
      <c r="C11" s="9" t="s">
        <v>338</v>
      </c>
    </row>
    <row r="13" customFormat="false" ht="15.75" hidden="false" customHeight="true" outlineLevel="0" collapsed="false">
      <c r="B13" s="5" t="s">
        <v>339</v>
      </c>
      <c r="C13" s="5"/>
      <c r="D13" s="5"/>
      <c r="E13" s="5"/>
      <c r="F13" s="5"/>
      <c r="G13" s="5"/>
      <c r="H13" s="5"/>
      <c r="I13" s="5"/>
      <c r="J13" s="5"/>
    </row>
    <row r="14" customFormat="false" ht="15.75" hidden="false" customHeight="true" outlineLevel="0" collapsed="false">
      <c r="B14" s="6" t="s">
        <v>340</v>
      </c>
      <c r="C14" s="44" t="s">
        <v>341</v>
      </c>
      <c r="D14" s="58" t="n">
        <v>143015</v>
      </c>
      <c r="E14" s="58" t="n">
        <v>168088</v>
      </c>
      <c r="F14" s="58" t="n">
        <v>198270</v>
      </c>
      <c r="G14" s="58" t="n">
        <v>211915</v>
      </c>
      <c r="H14" s="58" t="n">
        <v>245122</v>
      </c>
      <c r="I14" s="58" t="n">
        <v>281724</v>
      </c>
      <c r="J14" s="58" t="n">
        <v>281724</v>
      </c>
    </row>
    <row r="16" customFormat="false" ht="15.75" hidden="false" customHeight="true" outlineLevel="0" collapsed="false">
      <c r="B16" s="5" t="s">
        <v>342</v>
      </c>
      <c r="C16" s="5"/>
      <c r="D16" s="5"/>
      <c r="E16" s="5"/>
      <c r="F16" s="5"/>
      <c r="G16" s="5"/>
      <c r="H16" s="5"/>
      <c r="I16" s="5"/>
      <c r="J16" s="5"/>
    </row>
    <row r="17" customFormat="false" ht="15.75" hidden="false" customHeight="true" outlineLevel="0" collapsed="false">
      <c r="B17" s="6" t="s">
        <v>343</v>
      </c>
      <c r="D17" s="58" t="n">
        <v>52959</v>
      </c>
      <c r="E17" s="58" t="n">
        <v>69916</v>
      </c>
      <c r="F17" s="58" t="n">
        <v>83383</v>
      </c>
      <c r="G17" s="58" t="n">
        <v>88523</v>
      </c>
      <c r="H17" s="58" t="n">
        <v>109433</v>
      </c>
      <c r="I17" s="58" t="n">
        <v>128528</v>
      </c>
      <c r="J17" s="58" t="n">
        <v>128528</v>
      </c>
    </row>
    <row r="18" customFormat="false" ht="15" hidden="false" customHeight="false" outlineLevel="0" collapsed="false">
      <c r="B18" s="6" t="s">
        <v>344</v>
      </c>
      <c r="C18" s="9" t="s">
        <v>345</v>
      </c>
      <c r="D18" s="24" t="n">
        <v>0</v>
      </c>
      <c r="E18" s="24" t="n">
        <v>0</v>
      </c>
      <c r="F18" s="24" t="n">
        <v>0</v>
      </c>
      <c r="G18" s="24" t="n">
        <v>1326</v>
      </c>
      <c r="H18" s="24" t="n">
        <v>800</v>
      </c>
      <c r="I18" s="24" t="n">
        <v>0</v>
      </c>
      <c r="J18" s="35" t="n">
        <v>0</v>
      </c>
    </row>
    <row r="19" customFormat="false" ht="15" hidden="false" customHeight="false" outlineLevel="0" collapsed="false">
      <c r="B19" s="52" t="s">
        <v>346</v>
      </c>
      <c r="C19" s="59" t="e">
        <f aca="false">reported + normalization adj.</f>
        <v>#VALUE!</v>
      </c>
      <c r="D19" s="26" t="n">
        <f aca="false">D17+D18</f>
        <v>52959</v>
      </c>
      <c r="E19" s="26" t="n">
        <f aca="false">E17+E18</f>
        <v>69916</v>
      </c>
      <c r="F19" s="26" t="n">
        <f aca="false">F17+F18</f>
        <v>83383</v>
      </c>
      <c r="G19" s="26" t="n">
        <f aca="false">G17+G18</f>
        <v>89849</v>
      </c>
      <c r="H19" s="26" t="n">
        <f aca="false">H17+H18</f>
        <v>110233</v>
      </c>
      <c r="I19" s="26" t="n">
        <f aca="false">I17+I18</f>
        <v>128528</v>
      </c>
      <c r="J19" s="26" t="n">
        <f aca="false">C9*C10</f>
        <v>108212.82</v>
      </c>
    </row>
    <row r="20" customFormat="false" ht="15" hidden="false" customHeight="false" outlineLevel="0" collapsed="false">
      <c r="B20" s="6" t="s">
        <v>347</v>
      </c>
      <c r="C20" s="9" t="s">
        <v>348</v>
      </c>
      <c r="D20" s="35" t="n">
        <v>19598</v>
      </c>
      <c r="E20" s="35" t="n">
        <v>20117</v>
      </c>
      <c r="F20" s="35" t="n">
        <v>21825</v>
      </c>
      <c r="G20" s="35" t="n">
        <v>22759</v>
      </c>
      <c r="H20" s="35" t="n">
        <v>24456</v>
      </c>
      <c r="I20" s="35" t="n">
        <v>25798</v>
      </c>
      <c r="J20" s="35" t="n">
        <v>25798</v>
      </c>
    </row>
    <row r="21" customFormat="false" ht="15" hidden="false" customHeight="false" outlineLevel="0" collapsed="false">
      <c r="B21" s="6" t="s">
        <v>349</v>
      </c>
      <c r="C21" s="9" t="s">
        <v>350</v>
      </c>
      <c r="D21" s="35" t="n">
        <v>0</v>
      </c>
      <c r="E21" s="35" t="n">
        <v>-4023.4</v>
      </c>
      <c r="F21" s="35" t="n">
        <v>-8388.4</v>
      </c>
      <c r="G21" s="35" t="n">
        <v>-12940.2</v>
      </c>
      <c r="H21" s="35" t="n">
        <v>-17831.4</v>
      </c>
      <c r="I21" s="35" t="n">
        <v>-22991</v>
      </c>
      <c r="J21" s="35" t="n">
        <v>-22991</v>
      </c>
    </row>
    <row r="22" customFormat="false" ht="22.35" hidden="false" customHeight="false" outlineLevel="0" collapsed="false">
      <c r="B22" s="9" t="s">
        <v>351</v>
      </c>
      <c r="C22" s="44" t="s">
        <v>352</v>
      </c>
      <c r="D22" s="60" t="n">
        <v>0</v>
      </c>
      <c r="E22" s="60" t="n">
        <v>16093.6</v>
      </c>
      <c r="F22" s="60" t="n">
        <v>13436.6</v>
      </c>
      <c r="G22" s="60" t="n">
        <v>9818.8</v>
      </c>
      <c r="H22" s="60" t="n">
        <v>6624.6</v>
      </c>
      <c r="I22" s="60" t="n">
        <v>2807</v>
      </c>
      <c r="J22" s="60" t="n">
        <v>2807</v>
      </c>
    </row>
    <row r="23" customFormat="false" ht="15" hidden="false" customHeight="false" outlineLevel="0" collapsed="false">
      <c r="B23" s="6" t="s">
        <v>353</v>
      </c>
      <c r="C23" s="9" t="s">
        <v>354</v>
      </c>
      <c r="D23" s="35" t="n">
        <v>19269</v>
      </c>
      <c r="E23" s="35" t="n">
        <v>20716</v>
      </c>
      <c r="F23" s="35" t="n">
        <v>24512</v>
      </c>
      <c r="G23" s="35" t="n">
        <v>27195</v>
      </c>
      <c r="H23" s="35" t="n">
        <v>29510</v>
      </c>
      <c r="I23" s="35" t="n">
        <v>32704</v>
      </c>
      <c r="J23" s="35" t="n">
        <v>32704</v>
      </c>
    </row>
    <row r="24" customFormat="false" ht="15" hidden="false" customHeight="false" outlineLevel="0" collapsed="false">
      <c r="B24" s="6" t="s">
        <v>355</v>
      </c>
      <c r="C24" s="9" t="s">
        <v>356</v>
      </c>
      <c r="D24" s="35" t="n">
        <v>-3211.5</v>
      </c>
      <c r="E24" s="35" t="n">
        <v>-6664.16666666667</v>
      </c>
      <c r="F24" s="35" t="n">
        <v>-10749.5</v>
      </c>
      <c r="G24" s="35" t="n">
        <v>-15282</v>
      </c>
      <c r="H24" s="35" t="n">
        <v>-20200.3333333333</v>
      </c>
      <c r="I24" s="35" t="n">
        <v>-25651</v>
      </c>
      <c r="J24" s="35" t="n">
        <v>-25651</v>
      </c>
    </row>
    <row r="25" customFormat="false" ht="22.35" hidden="false" customHeight="false" outlineLevel="0" collapsed="false">
      <c r="B25" s="9" t="s">
        <v>357</v>
      </c>
      <c r="C25" s="44" t="s">
        <v>352</v>
      </c>
      <c r="D25" s="60" t="n">
        <v>16057.5</v>
      </c>
      <c r="E25" s="60" t="n">
        <v>14051.8333333333</v>
      </c>
      <c r="F25" s="60" t="n">
        <v>13762.5</v>
      </c>
      <c r="G25" s="60" t="n">
        <v>11913</v>
      </c>
      <c r="H25" s="60" t="n">
        <v>9309.66666666667</v>
      </c>
      <c r="I25" s="60" t="n">
        <v>7053</v>
      </c>
      <c r="J25" s="60" t="n">
        <v>7053</v>
      </c>
    </row>
    <row r="26" customFormat="false" ht="15" hidden="false" customHeight="false" outlineLevel="0" collapsed="false">
      <c r="B26" s="52" t="s">
        <v>358</v>
      </c>
      <c r="C26" s="61" t="e">
        <f aca="false">opclean + s&amp;m addback − S&amp;M Amort + R&amp;D addback − R&amp;D Amort</f>
        <v>#N/A</v>
      </c>
      <c r="D26" s="26" t="n">
        <f aca="false">D19+D20+D21+D23+D24</f>
        <v>88614.5</v>
      </c>
      <c r="E26" s="26" t="n">
        <f aca="false">E19+E20+E21+E23+E24</f>
        <v>100061.433333333</v>
      </c>
      <c r="F26" s="26" t="n">
        <f aca="false">F19+F20+F21+F23+F24</f>
        <v>110582.1</v>
      </c>
      <c r="G26" s="26" t="n">
        <f aca="false">G19+G20+G21+G23+G24</f>
        <v>111580.8</v>
      </c>
      <c r="H26" s="26" t="n">
        <f aca="false">H19+H20+H21+H23+H24</f>
        <v>126167.266666667</v>
      </c>
      <c r="I26" s="26" t="n">
        <f aca="false">I19+I20+I21+I23+I24</f>
        <v>138388</v>
      </c>
      <c r="J26" s="26" t="n">
        <f aca="false">J19+J20+J21+J23+J24</f>
        <v>118072.82</v>
      </c>
    </row>
    <row r="27" customFormat="false" ht="15" hidden="false" customHeight="false" outlineLevel="0" collapsed="false">
      <c r="B27" s="6" t="s">
        <v>359</v>
      </c>
      <c r="C27" s="9" t="s">
        <v>360</v>
      </c>
      <c r="D27" s="12" t="n">
        <v>0.82</v>
      </c>
      <c r="E27" s="12" t="n">
        <v>0.82</v>
      </c>
      <c r="F27" s="12" t="n">
        <v>0.82</v>
      </c>
      <c r="G27" s="12" t="n">
        <v>0.82</v>
      </c>
      <c r="H27" s="12" t="n">
        <v>0.82</v>
      </c>
      <c r="I27" s="12" t="n">
        <v>0.82</v>
      </c>
      <c r="J27" s="12" t="n">
        <f aca="false">1-C6</f>
        <v>0.82</v>
      </c>
    </row>
    <row r="28" customFormat="false" ht="15" hidden="false" customHeight="false" outlineLevel="0" collapsed="false">
      <c r="B28" s="48" t="s">
        <v>361</v>
      </c>
      <c r="C28" s="62" t="e">
        <f aca="false">adj opinc × (1−t)</f>
        <v>#N/A</v>
      </c>
      <c r="D28" s="33" t="n">
        <f aca="false">D26*D27</f>
        <v>72663.89</v>
      </c>
      <c r="E28" s="33" t="n">
        <f aca="false">E26*E27</f>
        <v>82050.3753333333</v>
      </c>
      <c r="F28" s="33" t="n">
        <f aca="false">F26*F27</f>
        <v>90677.322</v>
      </c>
      <c r="G28" s="33" t="n">
        <f aca="false">G26*G27</f>
        <v>91496.256</v>
      </c>
      <c r="H28" s="33" t="n">
        <f aca="false">H26*H27</f>
        <v>103457.158666667</v>
      </c>
      <c r="I28" s="33" t="n">
        <f aca="false">I26*I27</f>
        <v>113478.16</v>
      </c>
      <c r="J28" s="33" t="n">
        <f aca="false">J26*J27</f>
        <v>96819.7124</v>
      </c>
    </row>
    <row r="30" customFormat="false" ht="15.75" hidden="false" customHeight="true" outlineLevel="0" collapsed="false">
      <c r="B30" s="5" t="s">
        <v>362</v>
      </c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B31" s="6" t="s">
        <v>363</v>
      </c>
      <c r="C31" s="9" t="s">
        <v>364</v>
      </c>
      <c r="D31" s="12" t="n">
        <f aca="false">D19/D14</f>
        <v>0.370303814285215</v>
      </c>
      <c r="E31" s="12" t="n">
        <f aca="false">E19/E14</f>
        <v>0.415948788729713</v>
      </c>
      <c r="F31" s="12" t="n">
        <f aca="false">F19/F14</f>
        <v>0.420552781560498</v>
      </c>
      <c r="G31" s="12" t="n">
        <f aca="false">G19/G14</f>
        <v>0.423986032135526</v>
      </c>
      <c r="H31" s="12" t="n">
        <f aca="false">H19/H14</f>
        <v>0.449706676675288</v>
      </c>
      <c r="I31" s="12" t="n">
        <f aca="false">I19/I14</f>
        <v>0.456219562408599</v>
      </c>
      <c r="J31" s="57" t="n">
        <f aca="false">C10</f>
        <v>0.34</v>
      </c>
    </row>
    <row r="32" customFormat="false" ht="15" hidden="false" customHeight="false" outlineLevel="0" collapsed="false">
      <c r="B32" s="6" t="s">
        <v>365</v>
      </c>
      <c r="D32" s="12" t="n">
        <f aca="false">D28/D14</f>
        <v>0.508085795196308</v>
      </c>
      <c r="E32" s="12" t="n">
        <f aca="false">E28/E14</f>
        <v>0.488139399203592</v>
      </c>
      <c r="F32" s="12" t="n">
        <f aca="false">F28/F14</f>
        <v>0.457342623694962</v>
      </c>
      <c r="G32" s="12" t="n">
        <f aca="false">G28/G14</f>
        <v>0.431759224217257</v>
      </c>
      <c r="H32" s="12" t="n">
        <f aca="false">H28/H14</f>
        <v>0.422063946388601</v>
      </c>
      <c r="I32" s="12" t="n">
        <f aca="false">I28/I14</f>
        <v>0.402799051554003</v>
      </c>
      <c r="J32" s="12" t="n">
        <f aca="false">J28/J14</f>
        <v>0.343668670045861</v>
      </c>
    </row>
    <row r="33" customFormat="false" ht="15" hidden="false" customHeight="false" outlineLevel="0" collapsed="false">
      <c r="B33" s="6" t="s">
        <v>366</v>
      </c>
      <c r="D33" s="47" t="s">
        <v>251</v>
      </c>
      <c r="E33" s="12" t="n">
        <f aca="false">(E28-D28)/ABS(D28)</f>
        <v>0.129176752487836</v>
      </c>
      <c r="F33" s="12" t="n">
        <f aca="false">(F28-E28)/ABS(E28)</f>
        <v>0.105142074385636</v>
      </c>
      <c r="G33" s="12" t="n">
        <f aca="false">(G28-F28)/ABS(F28)</f>
        <v>0.00903129891727497</v>
      </c>
      <c r="H33" s="12" t="n">
        <f aca="false">(H28-G28)/ABS(G28)</f>
        <v>0.130725596757387</v>
      </c>
      <c r="I33" s="12" t="n">
        <f aca="false">(I28-H28)/ABS(H28)</f>
        <v>0.0968613623501921</v>
      </c>
      <c r="J33" s="47" t="s">
        <v>251</v>
      </c>
    </row>
    <row r="35" customFormat="false" ht="15.75" hidden="false" customHeight="true" outlineLevel="0" collapsed="false">
      <c r="B35" s="5" t="s">
        <v>367</v>
      </c>
      <c r="C35" s="5"/>
      <c r="D35" s="5"/>
      <c r="E35" s="5"/>
      <c r="F35" s="5"/>
      <c r="G35" s="5"/>
      <c r="H35" s="5"/>
      <c r="I35" s="5"/>
      <c r="J35" s="5"/>
    </row>
    <row r="36" customFormat="false" ht="15" hidden="false" customHeight="false" outlineLevel="0" collapsed="false">
      <c r="B36" s="6" t="s">
        <v>368</v>
      </c>
      <c r="D36" s="58" t="n">
        <v>8726</v>
      </c>
      <c r="E36" s="58" t="n">
        <v>11607</v>
      </c>
      <c r="F36" s="58" t="n">
        <v>14460</v>
      </c>
      <c r="G36" s="58" t="n">
        <v>13861</v>
      </c>
      <c r="H36" s="58" t="n">
        <v>22287</v>
      </c>
      <c r="I36" s="58" t="n">
        <v>34153</v>
      </c>
      <c r="J36" s="58" t="n">
        <v>34153</v>
      </c>
    </row>
    <row r="37" customFormat="false" ht="15" hidden="false" customHeight="false" outlineLevel="0" collapsed="false">
      <c r="B37" s="6" t="s">
        <v>369</v>
      </c>
      <c r="D37" s="58" t="n">
        <v>15441</v>
      </c>
      <c r="E37" s="58" t="n">
        <v>20622</v>
      </c>
      <c r="F37" s="58" t="n">
        <v>23886</v>
      </c>
      <c r="G37" s="58" t="n">
        <v>28107</v>
      </c>
      <c r="H37" s="58" t="n">
        <v>44477</v>
      </c>
      <c r="I37" s="58" t="n">
        <v>64551</v>
      </c>
      <c r="J37" s="58" t="n">
        <v>64551</v>
      </c>
    </row>
    <row r="39" customFormat="false" ht="15" hidden="false" customHeight="false" outlineLevel="0" collapsed="false">
      <c r="B39" s="16" t="s">
        <v>85</v>
      </c>
      <c r="C39" s="16"/>
      <c r="D39" s="16"/>
      <c r="E39" s="16"/>
      <c r="F39" s="16"/>
      <c r="G39" s="16"/>
      <c r="H39" s="16"/>
      <c r="I39" s="16"/>
      <c r="J39" s="16"/>
    </row>
  </sheetData>
  <mergeCells count="8">
    <mergeCell ref="B2:K2"/>
    <mergeCell ref="B3:K3"/>
    <mergeCell ref="B5:J5"/>
    <mergeCell ref="B13:J13"/>
    <mergeCell ref="B16:J16"/>
    <mergeCell ref="B30:J30"/>
    <mergeCell ref="B35:J35"/>
    <mergeCell ref="B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2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4"/>
  </cols>
  <sheetData>
    <row r="2" customFormat="false" ht="15" hidden="false" customHeight="false" outlineLevel="0" collapsed="false">
      <c r="B2" s="17" t="s">
        <v>370</v>
      </c>
      <c r="C2" s="17"/>
      <c r="D2" s="17"/>
      <c r="E2" s="17"/>
    </row>
    <row r="4" customFormat="false" ht="15.75" hidden="false" customHeight="true" outlineLevel="0" collapsed="false">
      <c r="B4" s="5" t="s">
        <v>371</v>
      </c>
      <c r="C4" s="5"/>
      <c r="D4" s="5"/>
      <c r="E4" s="5"/>
    </row>
    <row r="5" customFormat="false" ht="15.75" hidden="false" customHeight="true" outlineLevel="0" collapsed="false">
      <c r="B5" s="6" t="s">
        <v>372</v>
      </c>
      <c r="C5" s="57" t="n">
        <v>0.0439</v>
      </c>
      <c r="D5" s="44" t="s">
        <v>373</v>
      </c>
    </row>
    <row r="6" customFormat="false" ht="15.75" hidden="false" customHeight="true" outlineLevel="0" collapsed="false">
      <c r="B6" s="6" t="s">
        <v>374</v>
      </c>
      <c r="C6" s="63" t="n">
        <v>1.04</v>
      </c>
      <c r="D6" s="44" t="s">
        <v>375</v>
      </c>
    </row>
    <row r="7" customFormat="false" ht="15.75" hidden="false" customHeight="true" outlineLevel="0" collapsed="false">
      <c r="B7" s="6" t="s">
        <v>376</v>
      </c>
      <c r="C7" s="57" t="n">
        <v>0.045</v>
      </c>
      <c r="D7" s="44" t="s">
        <v>377</v>
      </c>
    </row>
    <row r="8" customFormat="false" ht="15.75" hidden="false" customHeight="true" outlineLevel="0" collapsed="false">
      <c r="B8" s="20" t="s">
        <v>378</v>
      </c>
      <c r="C8" s="64" t="n">
        <f aca="false">C5+C6*C7</f>
        <v>0.0907</v>
      </c>
      <c r="D8" s="65"/>
    </row>
    <row r="9" customFormat="false" ht="15.75" hidden="false" customHeight="true" outlineLevel="0" collapsed="false">
      <c r="B9" s="6" t="s">
        <v>379</v>
      </c>
      <c r="C9" s="57" t="n">
        <v>0.048</v>
      </c>
      <c r="D9" s="44" t="s">
        <v>380</v>
      </c>
    </row>
    <row r="10" customFormat="false" ht="15.75" hidden="false" customHeight="true" outlineLevel="0" collapsed="false">
      <c r="B10" s="6" t="s">
        <v>381</v>
      </c>
      <c r="C10" s="66" t="n">
        <f aca="false">C6</f>
        <v>1.04</v>
      </c>
      <c r="D10" s="44" t="s">
        <v>382</v>
      </c>
    </row>
    <row r="11" customFormat="false" ht="15.75" hidden="false" customHeight="true" outlineLevel="0" collapsed="false">
      <c r="B11" s="6" t="s">
        <v>383</v>
      </c>
      <c r="C11" s="12" t="n">
        <f aca="false">C9*(1-C10)</f>
        <v>-0.00192</v>
      </c>
    </row>
    <row r="12" customFormat="false" ht="15.75" hidden="false" customHeight="true" outlineLevel="0" collapsed="false">
      <c r="B12" s="6" t="s">
        <v>384</v>
      </c>
      <c r="C12" s="57" t="n">
        <v>0.986</v>
      </c>
      <c r="D12" s="44" t="s">
        <v>385</v>
      </c>
    </row>
    <row r="13" customFormat="false" ht="15.75" hidden="false" customHeight="true" outlineLevel="0" collapsed="false">
      <c r="B13" s="6" t="s">
        <v>386</v>
      </c>
      <c r="C13" s="57" t="n">
        <v>0.014</v>
      </c>
      <c r="D13" s="44" t="s">
        <v>387</v>
      </c>
    </row>
    <row r="14" customFormat="false" ht="15.75" hidden="false" customHeight="true" outlineLevel="0" collapsed="false">
      <c r="B14" s="32" t="s">
        <v>388</v>
      </c>
      <c r="C14" s="67" t="n">
        <f aca="false">C8*C12+C11*C13</f>
        <v>0.08940332</v>
      </c>
      <c r="D14" s="68" t="e">
        <f aca="false">ke×E/(D+E) + Kd_post×D/(D+E)</f>
        <v>#N/A</v>
      </c>
    </row>
    <row r="16" customFormat="false" ht="15.75" hidden="false" customHeight="true" outlineLevel="0" collapsed="false">
      <c r="B16" s="5" t="s">
        <v>389</v>
      </c>
      <c r="C16" s="5"/>
      <c r="D16" s="5"/>
      <c r="E16" s="5"/>
    </row>
    <row r="17" customFormat="false" ht="15.75" hidden="false" customHeight="true" outlineLevel="0" collapsed="false">
      <c r="B17" s="6" t="s">
        <v>390</v>
      </c>
      <c r="C17" s="58" t="n">
        <v>108212.82</v>
      </c>
      <c r="D17" s="44" t="s">
        <v>391</v>
      </c>
    </row>
    <row r="18" customFormat="false" ht="15.75" hidden="false" customHeight="true" outlineLevel="0" collapsed="false">
      <c r="B18" s="6" t="s">
        <v>392</v>
      </c>
      <c r="C18" s="12" t="n">
        <v>0.82</v>
      </c>
      <c r="D18" s="44" t="e">
        <f aca="false">1 − 18%</f>
        <v>#N/A</v>
      </c>
    </row>
    <row r="19" customFormat="false" ht="15.75" hidden="false" customHeight="true" outlineLevel="0" collapsed="false">
      <c r="B19" s="20" t="s">
        <v>393</v>
      </c>
      <c r="C19" s="69" t="n">
        <v>86629.85</v>
      </c>
      <c r="D19" s="70" t="e">
        <f aca="false">adj opinc × (1−t) | Link: NOPAT sheet col J</f>
        <v>#N/A</v>
      </c>
    </row>
    <row r="20" customFormat="false" ht="15.75" hidden="false" customHeight="true" outlineLevel="0" collapsed="false">
      <c r="B20" s="6" t="s">
        <v>394</v>
      </c>
      <c r="C20" s="58" t="n">
        <v>43629</v>
      </c>
      <c r="D20" s="44" t="s">
        <v>395</v>
      </c>
    </row>
    <row r="21" customFormat="false" ht="15.75" hidden="false" customHeight="true" outlineLevel="0" collapsed="false">
      <c r="B21" s="6" t="s">
        <v>396</v>
      </c>
      <c r="C21" s="24" t="n">
        <v>43629</v>
      </c>
      <c r="D21" s="44" t="s">
        <v>397</v>
      </c>
    </row>
    <row r="22" customFormat="false" ht="15.75" hidden="false" customHeight="true" outlineLevel="0" collapsed="false">
      <c r="B22" s="32" t="s">
        <v>398</v>
      </c>
      <c r="C22" s="33" t="n">
        <f aca="false">(C19+C20-C21)/C14</f>
        <v>968977.997685097</v>
      </c>
      <c r="D22" s="68" t="s">
        <v>399</v>
      </c>
    </row>
    <row r="24" customFormat="false" ht="15.75" hidden="false" customHeight="true" outlineLevel="0" collapsed="false">
      <c r="B24" s="5" t="s">
        <v>400</v>
      </c>
      <c r="C24" s="5"/>
      <c r="D24" s="5"/>
      <c r="E24" s="5"/>
    </row>
    <row r="25" customFormat="false" ht="15.75" hidden="false" customHeight="true" outlineLevel="0" collapsed="false">
      <c r="B25" s="6" t="s">
        <v>401</v>
      </c>
      <c r="C25" s="58" t="n">
        <f aca="false">C22</f>
        <v>968977.997685097</v>
      </c>
      <c r="D25" s="44" t="s">
        <v>402</v>
      </c>
    </row>
    <row r="26" customFormat="false" ht="15.75" hidden="false" customHeight="true" outlineLevel="0" collapsed="false">
      <c r="B26" s="6" t="s">
        <v>403</v>
      </c>
      <c r="C26" s="24" t="n">
        <v>71863</v>
      </c>
      <c r="D26" s="44" t="s">
        <v>404</v>
      </c>
    </row>
    <row r="27" customFormat="false" ht="15.75" hidden="false" customHeight="true" outlineLevel="0" collapsed="false">
      <c r="B27" s="6" t="s">
        <v>405</v>
      </c>
      <c r="C27" s="24" t="n">
        <v>15405</v>
      </c>
      <c r="D27" s="44" t="s">
        <v>406</v>
      </c>
    </row>
    <row r="28" customFormat="false" ht="15.75" hidden="false" customHeight="true" outlineLevel="0" collapsed="false">
      <c r="B28" s="6" t="s">
        <v>407</v>
      </c>
      <c r="C28" s="24" t="n">
        <v>56965</v>
      </c>
      <c r="D28" s="44" t="s">
        <v>408</v>
      </c>
    </row>
    <row r="29" customFormat="false" ht="15.75" hidden="false" customHeight="true" outlineLevel="0" collapsed="false">
      <c r="B29" s="6" t="s">
        <v>409</v>
      </c>
      <c r="C29" s="24" t="n">
        <v>17437</v>
      </c>
      <c r="D29" s="44" t="s">
        <v>410</v>
      </c>
    </row>
    <row r="30" customFormat="false" ht="15.75" hidden="false" customHeight="true" outlineLevel="0" collapsed="false">
      <c r="B30" s="6" t="s">
        <v>411</v>
      </c>
      <c r="C30" s="24" t="n">
        <v>0</v>
      </c>
      <c r="D30" s="44" t="s">
        <v>412</v>
      </c>
    </row>
    <row r="31" customFormat="false" ht="15.75" hidden="false" customHeight="true" outlineLevel="0" collapsed="false">
      <c r="B31" s="20" t="s">
        <v>413</v>
      </c>
      <c r="C31" s="26" t="n">
        <f aca="false">C22+C26+C27-C28-C29</f>
        <v>981843.997685097</v>
      </c>
      <c r="D31" s="70" t="e">
        <f aca="false">epv ops + excess cash + non-op − Debt − Leases</f>
        <v>#N/A</v>
      </c>
    </row>
    <row r="32" customFormat="false" ht="15.75" hidden="false" customHeight="true" outlineLevel="0" collapsed="false">
      <c r="B32" s="6" t="s">
        <v>24</v>
      </c>
      <c r="C32" s="10" t="n">
        <v>7445</v>
      </c>
      <c r="D32" s="44" t="s">
        <v>414</v>
      </c>
    </row>
    <row r="33" customFormat="false" ht="15.75" hidden="false" customHeight="true" outlineLevel="0" collapsed="false">
      <c r="B33" s="32" t="s">
        <v>415</v>
      </c>
      <c r="C33" s="71" t="n">
        <f aca="false">C31/C32</f>
        <v>131.879650461397</v>
      </c>
      <c r="D33" s="68" t="s">
        <v>416</v>
      </c>
    </row>
    <row r="35" customFormat="false" ht="15" hidden="false" customHeight="false" outlineLevel="0" collapsed="false">
      <c r="B35" s="6" t="s">
        <v>22</v>
      </c>
      <c r="C35" s="8" t="n">
        <v>414.44</v>
      </c>
    </row>
    <row r="36" customFormat="false" ht="15" hidden="false" customHeight="false" outlineLevel="0" collapsed="false">
      <c r="B36" s="6" t="s">
        <v>417</v>
      </c>
      <c r="C36" s="13" t="n">
        <f aca="false">C33</f>
        <v>131.879650461397</v>
      </c>
    </row>
    <row r="37" customFormat="false" ht="15" hidden="false" customHeight="false" outlineLevel="0" collapsed="false">
      <c r="B37" s="20" t="s">
        <v>418</v>
      </c>
      <c r="C37" s="64" t="n">
        <f aca="false">(C33-414.44)/C33</f>
        <v>-2.14256216595989</v>
      </c>
      <c r="D37" s="72" t="s">
        <v>419</v>
      </c>
    </row>
    <row r="40" customFormat="false" ht="15" hidden="false" customHeight="false" outlineLevel="0" collapsed="false">
      <c r="B40" s="28" t="s">
        <v>420</v>
      </c>
    </row>
    <row r="41" customFormat="false" ht="15.75" hidden="false" customHeight="true" outlineLevel="0" collapsed="false">
      <c r="B41" s="19" t="s">
        <v>421</v>
      </c>
      <c r="C41" s="19" t="s">
        <v>422</v>
      </c>
      <c r="D41" s="19" t="s">
        <v>423</v>
      </c>
      <c r="E41" s="19" t="s">
        <v>424</v>
      </c>
      <c r="F41" s="19" t="s">
        <v>425</v>
      </c>
      <c r="G41" s="19" t="s">
        <v>426</v>
      </c>
      <c r="H41" s="19" t="s">
        <v>427</v>
      </c>
      <c r="I41" s="19" t="s">
        <v>428</v>
      </c>
    </row>
    <row r="42" customFormat="false" ht="15" hidden="false" customHeight="false" outlineLevel="0" collapsed="false">
      <c r="B42" s="19" t="s">
        <v>429</v>
      </c>
      <c r="C42" s="13" t="n">
        <v>1025621.98</v>
      </c>
      <c r="D42" s="13" t="n">
        <v>1083375.21</v>
      </c>
      <c r="E42" s="13" t="n">
        <v>1141128.45</v>
      </c>
      <c r="F42" s="13" t="n">
        <v>1198881.68</v>
      </c>
      <c r="G42" s="13" t="n">
        <v>1256634.92</v>
      </c>
      <c r="H42" s="13" t="n">
        <v>1314388.15</v>
      </c>
      <c r="I42" s="13" t="n">
        <v>1360590.74</v>
      </c>
    </row>
    <row r="43" customFormat="false" ht="15" hidden="false" customHeight="false" outlineLevel="0" collapsed="false">
      <c r="B43" s="19" t="s">
        <v>430</v>
      </c>
      <c r="C43" s="13" t="n">
        <v>964259.17</v>
      </c>
      <c r="D43" s="13" t="n">
        <v>1018402.83</v>
      </c>
      <c r="E43" s="13" t="n">
        <v>1072546.48</v>
      </c>
      <c r="F43" s="13" t="n">
        <v>1126690.14</v>
      </c>
      <c r="G43" s="13" t="n">
        <v>1180833.8</v>
      </c>
      <c r="H43" s="13" t="n">
        <v>1234977.45</v>
      </c>
      <c r="I43" s="13" t="n">
        <v>1278292.38</v>
      </c>
    </row>
    <row r="44" customFormat="false" ht="15" hidden="false" customHeight="false" outlineLevel="0" collapsed="false">
      <c r="B44" s="19" t="s">
        <v>431</v>
      </c>
      <c r="C44" s="13" t="n">
        <v>910115.51</v>
      </c>
      <c r="D44" s="13" t="n">
        <v>961074.25</v>
      </c>
      <c r="E44" s="13" t="n">
        <v>1012032.98</v>
      </c>
      <c r="F44" s="13" t="n">
        <v>1062991.72</v>
      </c>
      <c r="G44" s="13" t="n">
        <v>1113950.46</v>
      </c>
      <c r="H44" s="13" t="n">
        <v>1164909.19</v>
      </c>
      <c r="I44" s="13" t="n">
        <v>1205676.18</v>
      </c>
    </row>
    <row r="45" customFormat="false" ht="15" hidden="false" customHeight="false" outlineLevel="0" collapsed="false">
      <c r="B45" s="19" t="s">
        <v>432</v>
      </c>
      <c r="C45" s="13" t="n">
        <v>861987.82</v>
      </c>
      <c r="D45" s="13" t="n">
        <v>910115.51</v>
      </c>
      <c r="E45" s="13" t="n">
        <v>958243.21</v>
      </c>
      <c r="F45" s="13" t="n">
        <v>1006370.9</v>
      </c>
      <c r="G45" s="13" t="n">
        <v>1054498.6</v>
      </c>
      <c r="H45" s="13" t="n">
        <v>1102626.29</v>
      </c>
      <c r="I45" s="13" t="n">
        <v>1141128.45</v>
      </c>
    </row>
    <row r="46" customFormat="false" ht="15" hidden="false" customHeight="false" outlineLevel="0" collapsed="false">
      <c r="B46" s="19" t="s">
        <v>433</v>
      </c>
      <c r="C46" s="13" t="n">
        <v>818926.19</v>
      </c>
      <c r="D46" s="13" t="n">
        <v>864520.85</v>
      </c>
      <c r="E46" s="13" t="n">
        <v>910115.51</v>
      </c>
      <c r="F46" s="13" t="n">
        <v>955710.17</v>
      </c>
      <c r="G46" s="13" t="n">
        <v>1001304.83</v>
      </c>
      <c r="H46" s="13" t="n">
        <v>1046899.49</v>
      </c>
      <c r="I46" s="13" t="n">
        <v>1083375.21</v>
      </c>
    </row>
    <row r="47" customFormat="false" ht="15" hidden="false" customHeight="false" outlineLevel="0" collapsed="false">
      <c r="B47" s="19" t="s">
        <v>434</v>
      </c>
      <c r="C47" s="13" t="n">
        <v>780170.74</v>
      </c>
      <c r="D47" s="13" t="n">
        <v>823485.66</v>
      </c>
      <c r="E47" s="13" t="n">
        <v>866800.59</v>
      </c>
      <c r="F47" s="13" t="n">
        <v>910115.51</v>
      </c>
      <c r="G47" s="13" t="n">
        <v>953430.44</v>
      </c>
      <c r="H47" s="13" t="n">
        <v>996745.36</v>
      </c>
      <c r="I47" s="13" t="n">
        <v>1031397.3</v>
      </c>
    </row>
    <row r="48" customFormat="false" ht="15" hidden="false" customHeight="false" outlineLevel="0" collapsed="false">
      <c r="B48" s="19" t="s">
        <v>435</v>
      </c>
      <c r="C48" s="13" t="n">
        <v>713229.49</v>
      </c>
      <c r="D48" s="13" t="n">
        <v>752606.69</v>
      </c>
      <c r="E48" s="13" t="n">
        <v>791983.9</v>
      </c>
      <c r="F48" s="13" t="n">
        <v>831361.1</v>
      </c>
      <c r="G48" s="13" t="n">
        <v>870738.31</v>
      </c>
      <c r="H48" s="13" t="n">
        <v>910115.51</v>
      </c>
      <c r="I48" s="13" t="n">
        <v>941617.28</v>
      </c>
    </row>
    <row r="50" customFormat="false" ht="15" hidden="false" customHeight="false" outlineLevel="0" collapsed="false">
      <c r="B50" s="16" t="s">
        <v>85</v>
      </c>
      <c r="C50" s="16"/>
      <c r="D50" s="16"/>
      <c r="E50" s="16"/>
    </row>
  </sheetData>
  <mergeCells count="5">
    <mergeCell ref="B2:E2"/>
    <mergeCell ref="B4:E4"/>
    <mergeCell ref="B16:E16"/>
    <mergeCell ref="B24:E24"/>
    <mergeCell ref="B50:E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B2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9" min="3" style="0" width="14"/>
  </cols>
  <sheetData>
    <row r="2" customFormat="false" ht="15" hidden="false" customHeight="false" outlineLevel="0" collapsed="false">
      <c r="B2" s="17" t="s">
        <v>436</v>
      </c>
      <c r="C2" s="17"/>
      <c r="D2" s="17"/>
      <c r="E2" s="17"/>
      <c r="F2" s="17"/>
      <c r="G2" s="17"/>
      <c r="H2" s="17"/>
      <c r="I2" s="17"/>
    </row>
    <row r="3" customFormat="false" ht="15" hidden="false" customHeight="false" outlineLevel="0" collapsed="false">
      <c r="B3" s="18" t="s">
        <v>437</v>
      </c>
      <c r="C3" s="18"/>
      <c r="D3" s="18"/>
      <c r="E3" s="18"/>
      <c r="F3" s="18"/>
      <c r="G3" s="18"/>
      <c r="H3" s="18"/>
      <c r="I3" s="18"/>
    </row>
    <row r="5" customFormat="false" ht="15.75" hidden="false" customHeight="true" outlineLevel="0" collapsed="false">
      <c r="B5" s="5" t="s">
        <v>438</v>
      </c>
      <c r="C5" s="5"/>
      <c r="D5" s="5"/>
      <c r="E5" s="5"/>
      <c r="F5" s="5"/>
      <c r="G5" s="5"/>
      <c r="H5" s="5"/>
      <c r="I5" s="5"/>
    </row>
    <row r="6" customFormat="false" ht="15.75" hidden="false" customHeight="true" outlineLevel="0" collapsed="false">
      <c r="B6" s="19" t="s">
        <v>88</v>
      </c>
      <c r="C6" s="19" t="s">
        <v>268</v>
      </c>
      <c r="D6" s="19" t="s">
        <v>89</v>
      </c>
      <c r="E6" s="19" t="s">
        <v>90</v>
      </c>
      <c r="F6" s="19" t="s">
        <v>91</v>
      </c>
      <c r="G6" s="19" t="s">
        <v>92</v>
      </c>
      <c r="H6" s="19" t="s">
        <v>93</v>
      </c>
    </row>
    <row r="7" customFormat="false" ht="15" hidden="false" customHeight="true" outlineLevel="0" collapsed="false">
      <c r="B7" s="6" t="s">
        <v>439</v>
      </c>
      <c r="C7" s="58" t="n">
        <v>72663.89</v>
      </c>
      <c r="D7" s="58" t="n">
        <v>82050.3753333333</v>
      </c>
      <c r="E7" s="58" t="n">
        <v>90677.322</v>
      </c>
      <c r="F7" s="58" t="n">
        <v>91496.256</v>
      </c>
      <c r="G7" s="58" t="n">
        <v>103457.158666667</v>
      </c>
      <c r="H7" s="58" t="n">
        <v>113478.16</v>
      </c>
    </row>
    <row r="8" customFormat="false" ht="15" hidden="false" customHeight="false" outlineLevel="0" collapsed="false">
      <c r="B8" s="20" t="s">
        <v>440</v>
      </c>
      <c r="C8" s="53"/>
      <c r="D8" s="53"/>
      <c r="E8" s="53"/>
      <c r="F8" s="53"/>
      <c r="G8" s="53"/>
      <c r="H8" s="53"/>
    </row>
    <row r="9" customFormat="false" ht="15" hidden="false" customHeight="true" outlineLevel="0" collapsed="false">
      <c r="B9" s="6" t="s">
        <v>441</v>
      </c>
      <c r="C9" s="35" t="n">
        <v>-20526</v>
      </c>
      <c r="D9" s="35" t="n">
        <v>-41313</v>
      </c>
      <c r="E9" s="35" t="n">
        <v>-41695</v>
      </c>
      <c r="F9" s="35" t="n">
        <v>-23658</v>
      </c>
      <c r="G9" s="35" t="n">
        <v>-32153</v>
      </c>
      <c r="H9" s="35" t="n">
        <v>-41653</v>
      </c>
    </row>
    <row r="10" customFormat="false" ht="15" hidden="false" customHeight="true" outlineLevel="0" collapsed="false">
      <c r="B10" s="6" t="s">
        <v>442</v>
      </c>
      <c r="C10" s="58" t="n">
        <v>44151</v>
      </c>
      <c r="D10" s="58" t="n">
        <v>59715</v>
      </c>
      <c r="E10" s="58" t="n">
        <v>74398</v>
      </c>
      <c r="F10" s="58" t="n">
        <v>104440</v>
      </c>
      <c r="G10" s="58" t="n">
        <v>135591</v>
      </c>
      <c r="H10" s="58" t="n">
        <v>204966</v>
      </c>
    </row>
    <row r="11" customFormat="false" ht="15" hidden="false" customHeight="true" outlineLevel="0" collapsed="false">
      <c r="B11" s="6" t="s">
        <v>443</v>
      </c>
      <c r="C11" s="58" t="n">
        <v>0</v>
      </c>
      <c r="D11" s="58" t="n">
        <v>16093.6</v>
      </c>
      <c r="E11" s="58" t="n">
        <v>29530.2</v>
      </c>
      <c r="F11" s="58" t="n">
        <v>39349</v>
      </c>
      <c r="G11" s="58" t="n">
        <v>45973.6</v>
      </c>
      <c r="H11" s="58" t="n">
        <v>48780.6</v>
      </c>
    </row>
    <row r="12" customFormat="false" ht="15" hidden="false" customHeight="true" outlineLevel="0" collapsed="false">
      <c r="B12" s="6" t="s">
        <v>444</v>
      </c>
      <c r="C12" s="58" t="n">
        <v>16058</v>
      </c>
      <c r="D12" s="58" t="n">
        <v>30109</v>
      </c>
      <c r="E12" s="58" t="n">
        <v>43872</v>
      </c>
      <c r="F12" s="58" t="n">
        <v>55785</v>
      </c>
      <c r="G12" s="58" t="n">
        <v>65094</v>
      </c>
      <c r="H12" s="58" t="n">
        <v>72148</v>
      </c>
    </row>
    <row r="13" customFormat="false" ht="15" hidden="false" customHeight="true" outlineLevel="0" collapsed="false">
      <c r="B13" s="52" t="s">
        <v>445</v>
      </c>
      <c r="C13" s="26" t="n">
        <v>39683</v>
      </c>
      <c r="D13" s="26" t="n">
        <v>64604.6</v>
      </c>
      <c r="E13" s="26" t="n">
        <v>106105.2</v>
      </c>
      <c r="F13" s="26" t="n">
        <v>175916</v>
      </c>
      <c r="G13" s="26" t="n">
        <v>214505.6</v>
      </c>
      <c r="H13" s="26" t="n">
        <v>284241.6</v>
      </c>
    </row>
    <row r="14" customFormat="false" ht="15" hidden="false" customHeight="true" outlineLevel="0" collapsed="false">
      <c r="B14" s="48" t="s">
        <v>446</v>
      </c>
      <c r="C14" s="67" t="n">
        <v>1.83113185913186</v>
      </c>
      <c r="D14" s="67" t="n">
        <v>1.27003266004454</v>
      </c>
      <c r="E14" s="67" t="n">
        <v>0.85459962785303</v>
      </c>
      <c r="F14" s="67" t="n">
        <v>0.520113819582281</v>
      </c>
      <c r="G14" s="67" t="n">
        <v>0.482304040149286</v>
      </c>
      <c r="H14" s="67" t="n">
        <v>0.399232060388171</v>
      </c>
    </row>
    <row r="15" customFormat="false" ht="15" hidden="false" customHeight="true" outlineLevel="0" collapsed="false">
      <c r="B15" s="6" t="s">
        <v>447</v>
      </c>
      <c r="C15" s="12" t="n">
        <v>1.74113185913186</v>
      </c>
      <c r="D15" s="12" t="n">
        <v>1.18003266004454</v>
      </c>
      <c r="E15" s="12" t="n">
        <v>0.76459962785303</v>
      </c>
      <c r="F15" s="12" t="n">
        <v>0.430113819582282</v>
      </c>
      <c r="G15" s="12" t="n">
        <v>0.392304040149286</v>
      </c>
      <c r="H15" s="12" t="n">
        <v>0.309232060388171</v>
      </c>
    </row>
    <row r="16" customFormat="false" ht="15" hidden="false" customHeight="true" outlineLevel="0" collapsed="false">
      <c r="B16" s="6" t="s">
        <v>448</v>
      </c>
      <c r="C16" s="12" t="n">
        <v>0.09</v>
      </c>
      <c r="D16" s="12" t="n">
        <v>0.09</v>
      </c>
      <c r="E16" s="12" t="n">
        <v>0.09</v>
      </c>
      <c r="F16" s="12" t="n">
        <v>0.09</v>
      </c>
      <c r="G16" s="12" t="n">
        <v>0.09</v>
      </c>
      <c r="H16" s="12" t="n">
        <v>0.09</v>
      </c>
    </row>
    <row r="17" customFormat="false" ht="22.35" hidden="false" customHeight="false" outlineLevel="0" collapsed="false">
      <c r="B17" s="44" t="s">
        <v>449</v>
      </c>
    </row>
    <row r="19" customFormat="false" ht="7.5" hidden="false" customHeight="true" outlineLevel="0" collapsed="false">
      <c r="B19" s="73" t="s">
        <v>450</v>
      </c>
      <c r="C19" s="53"/>
      <c r="D19" s="53"/>
      <c r="E19" s="53"/>
      <c r="F19" s="53"/>
      <c r="G19" s="53"/>
      <c r="H19" s="53"/>
    </row>
    <row r="20" customFormat="false" ht="15.75" hidden="false" customHeight="true" outlineLevel="0" collapsed="false">
      <c r="B20" s="5" t="s">
        <v>451</v>
      </c>
      <c r="C20" s="5"/>
      <c r="D20" s="5"/>
      <c r="E20" s="5"/>
      <c r="F20" s="5"/>
      <c r="G20" s="5"/>
      <c r="H20" s="5"/>
      <c r="I20" s="5"/>
    </row>
    <row r="21" customFormat="false" ht="15" hidden="false" customHeight="true" outlineLevel="0" collapsed="false">
      <c r="B21" s="6" t="s">
        <v>452</v>
      </c>
      <c r="C21" s="35" t="s">
        <v>251</v>
      </c>
      <c r="D21" s="35" t="n">
        <v>9386</v>
      </c>
      <c r="E21" s="35" t="n">
        <v>8627</v>
      </c>
      <c r="F21" s="35" t="n">
        <v>819</v>
      </c>
      <c r="G21" s="35" t="n">
        <v>11961</v>
      </c>
      <c r="H21" s="35" t="n">
        <v>10021</v>
      </c>
    </row>
    <row r="22" customFormat="false" ht="15" hidden="false" customHeight="true" outlineLevel="0" collapsed="false">
      <c r="B22" s="6" t="s">
        <v>453</v>
      </c>
      <c r="C22" s="35" t="s">
        <v>251</v>
      </c>
      <c r="D22" s="35" t="n">
        <v>24922</v>
      </c>
      <c r="E22" s="35" t="n">
        <v>41501</v>
      </c>
      <c r="F22" s="35" t="n">
        <v>69811</v>
      </c>
      <c r="G22" s="35" t="n">
        <v>38590</v>
      </c>
      <c r="H22" s="35" t="n">
        <v>69736</v>
      </c>
    </row>
    <row r="23" customFormat="false" ht="15" hidden="false" customHeight="true" outlineLevel="0" collapsed="false">
      <c r="B23" s="48" t="s">
        <v>454</v>
      </c>
      <c r="C23" s="67" t="s">
        <v>251</v>
      </c>
      <c r="D23" s="67" t="n">
        <v>0.37664055812361</v>
      </c>
      <c r="E23" s="67" t="n">
        <v>0.207875227506751</v>
      </c>
      <c r="F23" s="67" t="n">
        <v>0.0117307637213725</v>
      </c>
      <c r="G23" s="67" t="n">
        <v>0.309951454968869</v>
      </c>
      <c r="H23" s="67" t="n">
        <v>0.143699112844633</v>
      </c>
    </row>
    <row r="24" customFormat="false" ht="15" hidden="false" customHeight="false" outlineLevel="0" collapsed="false">
      <c r="B24" s="44" t="s">
        <v>455</v>
      </c>
    </row>
    <row r="26" customFormat="false" ht="7.5" hidden="false" customHeight="true" outlineLevel="0" collapsed="false">
      <c r="B26" s="73" t="s">
        <v>450</v>
      </c>
      <c r="C26" s="53"/>
      <c r="D26" s="53"/>
      <c r="E26" s="53"/>
      <c r="F26" s="53"/>
      <c r="G26" s="53"/>
      <c r="H26" s="53"/>
    </row>
    <row r="27" customFormat="false" ht="15.75" hidden="false" customHeight="true" outlineLevel="0" collapsed="false">
      <c r="B27" s="5" t="s">
        <v>456</v>
      </c>
      <c r="C27" s="5"/>
      <c r="D27" s="5"/>
      <c r="E27" s="5"/>
      <c r="F27" s="5"/>
      <c r="G27" s="5"/>
      <c r="H27" s="5"/>
      <c r="I27" s="5"/>
    </row>
    <row r="28" customFormat="false" ht="15" hidden="false" customHeight="false" outlineLevel="0" collapsed="false">
      <c r="B28" s="6" t="s">
        <v>457</v>
      </c>
      <c r="C28" s="47" t="s">
        <v>251</v>
      </c>
      <c r="D28" s="47" t="s">
        <v>251</v>
      </c>
      <c r="E28" s="35" t="n">
        <v>75786</v>
      </c>
      <c r="F28" s="35" t="n">
        <v>72603</v>
      </c>
      <c r="G28" s="35" t="n">
        <v>74102</v>
      </c>
      <c r="H28" s="35" t="n">
        <v>78382</v>
      </c>
    </row>
    <row r="29" customFormat="false" ht="15" hidden="false" customHeight="false" outlineLevel="0" collapsed="false">
      <c r="B29" s="6" t="s">
        <v>458</v>
      </c>
      <c r="C29" s="47" t="s">
        <v>251</v>
      </c>
      <c r="D29" s="47" t="s">
        <v>251</v>
      </c>
      <c r="E29" s="35" t="n">
        <v>18013</v>
      </c>
      <c r="F29" s="35" t="n">
        <v>9446</v>
      </c>
      <c r="G29" s="35" t="n">
        <v>12780</v>
      </c>
      <c r="H29" s="35" t="n">
        <v>21982</v>
      </c>
    </row>
    <row r="30" customFormat="false" ht="15" hidden="false" customHeight="false" outlineLevel="0" collapsed="false">
      <c r="B30" s="48" t="s">
        <v>459</v>
      </c>
      <c r="C30" s="74" t="s">
        <v>251</v>
      </c>
      <c r="D30" s="74" t="s">
        <v>251</v>
      </c>
      <c r="E30" s="67" t="n">
        <v>0.237689585435391</v>
      </c>
      <c r="F30" s="67" t="n">
        <v>0.130103352161782</v>
      </c>
      <c r="G30" s="67" t="n">
        <v>0.172462621375382</v>
      </c>
      <c r="H30" s="67" t="n">
        <v>0.280444862528429</v>
      </c>
    </row>
    <row r="32" customFormat="false" ht="15" hidden="false" customHeight="false" outlineLevel="0" collapsed="false">
      <c r="B32" s="6" t="s">
        <v>460</v>
      </c>
      <c r="C32" s="47" t="s">
        <v>251</v>
      </c>
      <c r="D32" s="47" t="s">
        <v>251</v>
      </c>
      <c r="E32" s="47" t="s">
        <v>251</v>
      </c>
      <c r="F32" s="35" t="n">
        <v>111763</v>
      </c>
      <c r="G32" s="35" t="n">
        <v>110727</v>
      </c>
      <c r="H32" s="35" t="n">
        <v>114360</v>
      </c>
    </row>
    <row r="33" customFormat="false" ht="15" hidden="false" customHeight="false" outlineLevel="0" collapsed="false">
      <c r="B33" s="6" t="s">
        <v>461</v>
      </c>
      <c r="C33" s="47" t="s">
        <v>251</v>
      </c>
      <c r="D33" s="47" t="s">
        <v>251</v>
      </c>
      <c r="E33" s="47" t="s">
        <v>251</v>
      </c>
      <c r="F33" s="35" t="n">
        <v>18832</v>
      </c>
      <c r="G33" s="35" t="n">
        <v>21407</v>
      </c>
      <c r="H33" s="35" t="n">
        <v>22801</v>
      </c>
    </row>
    <row r="34" customFormat="false" ht="15" hidden="false" customHeight="false" outlineLevel="0" collapsed="false">
      <c r="B34" s="48" t="s">
        <v>462</v>
      </c>
      <c r="C34" s="74" t="s">
        <v>251</v>
      </c>
      <c r="D34" s="74" t="s">
        <v>251</v>
      </c>
      <c r="E34" s="74" t="s">
        <v>251</v>
      </c>
      <c r="F34" s="67" t="n">
        <v>0.168502186167199</v>
      </c>
      <c r="G34" s="67" t="n">
        <v>0.19332909870056</v>
      </c>
      <c r="H34" s="67" t="n">
        <v>0.199377620742905</v>
      </c>
    </row>
    <row r="36" customFormat="false" ht="15" hidden="false" customHeight="false" outlineLevel="0" collapsed="false">
      <c r="B36" s="6" t="s">
        <v>463</v>
      </c>
      <c r="C36" s="47" t="s">
        <v>251</v>
      </c>
      <c r="D36" s="47" t="s">
        <v>251</v>
      </c>
      <c r="E36" s="47" t="s">
        <v>251</v>
      </c>
      <c r="F36" s="47" t="s">
        <v>251</v>
      </c>
      <c r="G36" s="35" t="n">
        <v>149888</v>
      </c>
      <c r="H36" s="35" t="n">
        <v>150985</v>
      </c>
    </row>
    <row r="37" customFormat="false" ht="15" hidden="false" customHeight="false" outlineLevel="0" collapsed="false">
      <c r="B37" s="6" t="s">
        <v>464</v>
      </c>
      <c r="C37" s="47" t="s">
        <v>251</v>
      </c>
      <c r="D37" s="47" t="s">
        <v>251</v>
      </c>
      <c r="E37" s="47" t="s">
        <v>251</v>
      </c>
      <c r="F37" s="47" t="s">
        <v>251</v>
      </c>
      <c r="G37" s="35" t="n">
        <v>30793</v>
      </c>
      <c r="H37" s="35" t="n">
        <v>31428</v>
      </c>
    </row>
    <row r="38" customFormat="false" ht="15" hidden="false" customHeight="false" outlineLevel="0" collapsed="false">
      <c r="B38" s="48" t="s">
        <v>465</v>
      </c>
      <c r="C38" s="74" t="s">
        <v>251</v>
      </c>
      <c r="D38" s="74" t="s">
        <v>251</v>
      </c>
      <c r="E38" s="74" t="s">
        <v>251</v>
      </c>
      <c r="F38" s="74" t="s">
        <v>251</v>
      </c>
      <c r="G38" s="67" t="n">
        <v>0.20544240261814</v>
      </c>
      <c r="H38" s="67" t="n">
        <v>0.208151471833326</v>
      </c>
    </row>
    <row r="40" customFormat="false" ht="22.35" hidden="false" customHeight="false" outlineLevel="0" collapsed="false">
      <c r="B40" s="44" t="s">
        <v>466</v>
      </c>
    </row>
    <row r="42" customFormat="false" ht="15" hidden="false" customHeight="false" outlineLevel="0" collapsed="false">
      <c r="B42" s="16" t="s">
        <v>85</v>
      </c>
      <c r="C42" s="16"/>
      <c r="D42" s="16"/>
      <c r="E42" s="16"/>
      <c r="F42" s="16"/>
      <c r="G42" s="16"/>
      <c r="H42" s="16"/>
      <c r="I42" s="16"/>
    </row>
  </sheetData>
  <mergeCells count="6">
    <mergeCell ref="B2:I2"/>
    <mergeCell ref="B3:I3"/>
    <mergeCell ref="B5:I5"/>
    <mergeCell ref="B20:I20"/>
    <mergeCell ref="B27:I27"/>
    <mergeCell ref="B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2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30"/>
  </cols>
  <sheetData>
    <row r="2" customFormat="false" ht="15" hidden="false" customHeight="false" outlineLevel="0" collapsed="false">
      <c r="B2" s="17" t="s">
        <v>467</v>
      </c>
      <c r="C2" s="17"/>
      <c r="D2" s="17"/>
    </row>
    <row r="3" customFormat="false" ht="15" hidden="false" customHeight="false" outlineLevel="0" collapsed="false">
      <c r="B3" s="18" t="s">
        <v>468</v>
      </c>
      <c r="C3" s="18"/>
      <c r="D3" s="18"/>
    </row>
    <row r="5" customFormat="false" ht="15.75" hidden="false" customHeight="true" outlineLevel="0" collapsed="false">
      <c r="B5" s="5" t="s">
        <v>469</v>
      </c>
      <c r="C5" s="5"/>
      <c r="D5" s="5"/>
    </row>
    <row r="6" customFormat="false" ht="15.75" hidden="false" customHeight="true" outlineLevel="0" collapsed="false">
      <c r="B6" s="6" t="s">
        <v>26</v>
      </c>
      <c r="C6" s="58" t="n">
        <v>3093380</v>
      </c>
      <c r="D6" s="44" t="s">
        <v>470</v>
      </c>
    </row>
    <row r="7" customFormat="false" ht="15.75" hidden="false" customHeight="true" outlineLevel="0" collapsed="false">
      <c r="B7" s="6" t="s">
        <v>471</v>
      </c>
      <c r="C7" s="58" t="n">
        <v>43151</v>
      </c>
      <c r="D7" s="44" t="s">
        <v>472</v>
      </c>
    </row>
    <row r="8" customFormat="false" ht="15.75" hidden="false" customHeight="true" outlineLevel="0" collapsed="false">
      <c r="B8" s="6" t="s">
        <v>473</v>
      </c>
      <c r="C8" s="58" t="n">
        <v>17437</v>
      </c>
      <c r="D8" s="44" t="s">
        <v>30</v>
      </c>
    </row>
    <row r="9" customFormat="false" ht="15.75" hidden="false" customHeight="true" outlineLevel="0" collapsed="false">
      <c r="B9" s="6" t="s">
        <v>474</v>
      </c>
      <c r="C9" s="58" t="n">
        <v>-94565</v>
      </c>
      <c r="D9" s="44" t="s">
        <v>475</v>
      </c>
    </row>
    <row r="10" customFormat="false" ht="15.75" hidden="false" customHeight="true" outlineLevel="0" collapsed="false">
      <c r="B10" s="20" t="s">
        <v>33</v>
      </c>
      <c r="C10" s="26" t="n">
        <f aca="false">C6+C7+C8+C9</f>
        <v>3059403</v>
      </c>
      <c r="D10" s="70" t="e">
        <f aca="false">mcap + debt + leases − Cash</f>
        <v>#N/A</v>
      </c>
    </row>
    <row r="12" customFormat="false" ht="15.75" hidden="false" customHeight="true" outlineLevel="0" collapsed="false">
      <c r="B12" s="5" t="s">
        <v>476</v>
      </c>
      <c r="C12" s="5"/>
      <c r="D12" s="5"/>
    </row>
    <row r="13" customFormat="false" ht="15.75" hidden="false" customHeight="true" outlineLevel="0" collapsed="false">
      <c r="B13" s="20" t="s">
        <v>477</v>
      </c>
      <c r="C13" s="75" t="n">
        <v>86629.85</v>
      </c>
      <c r="D13" s="70" t="s">
        <v>478</v>
      </c>
    </row>
    <row r="14" customFormat="false" ht="15.75" hidden="false" customHeight="true" outlineLevel="0" collapsed="false">
      <c r="B14" s="6" t="s">
        <v>479</v>
      </c>
      <c r="C14" s="14" t="n">
        <f aca="false">C10/C13</f>
        <v>35.3158062723184</v>
      </c>
      <c r="D14" s="44" t="s">
        <v>480</v>
      </c>
    </row>
    <row r="16" customFormat="false" ht="15.75" hidden="false" customHeight="true" outlineLevel="0" collapsed="false">
      <c r="B16" s="5" t="s">
        <v>481</v>
      </c>
      <c r="C16" s="5"/>
      <c r="D16" s="5"/>
    </row>
    <row r="17" customFormat="false" ht="15.75" hidden="false" customHeight="true" outlineLevel="0" collapsed="false">
      <c r="B17" s="6" t="s">
        <v>482</v>
      </c>
      <c r="C17" s="58" t="n">
        <v>22340</v>
      </c>
      <c r="D17" s="44" t="s">
        <v>483</v>
      </c>
    </row>
    <row r="18" customFormat="false" ht="15.75" hidden="false" customHeight="true" outlineLevel="0" collapsed="false">
      <c r="B18" s="6" t="s">
        <v>484</v>
      </c>
      <c r="C18" s="24" t="n">
        <v>17700</v>
      </c>
      <c r="D18" s="44" t="s">
        <v>485</v>
      </c>
    </row>
    <row r="19" customFormat="false" ht="15.75" hidden="false" customHeight="true" outlineLevel="0" collapsed="false">
      <c r="B19" s="6" t="s">
        <v>486</v>
      </c>
      <c r="C19" s="58" t="n">
        <v>1413</v>
      </c>
      <c r="D19" s="44" t="s">
        <v>487</v>
      </c>
    </row>
    <row r="20" customFormat="false" ht="15.75" hidden="false" customHeight="true" outlineLevel="0" collapsed="false">
      <c r="B20" s="20" t="s">
        <v>488</v>
      </c>
      <c r="C20" s="26" t="n">
        <f aca="false">C17+C18+C19</f>
        <v>41453</v>
      </c>
      <c r="D20" s="65"/>
    </row>
    <row r="21" customFormat="false" ht="15.75" hidden="false" customHeight="true" outlineLevel="0" collapsed="false">
      <c r="B21" s="20" t="s">
        <v>489</v>
      </c>
      <c r="C21" s="64" t="n">
        <f aca="false">C20/C10</f>
        <v>0.0135493754827331</v>
      </c>
      <c r="D21" s="65"/>
    </row>
    <row r="22" customFormat="false" ht="15.75" hidden="false" customHeight="true" outlineLevel="0" collapsed="false">
      <c r="B22" s="6" t="s">
        <v>490</v>
      </c>
      <c r="C22" s="12" t="n">
        <f aca="false">C20/C13</f>
        <v>0.478507119659101</v>
      </c>
      <c r="D22" s="44" t="s">
        <v>491</v>
      </c>
    </row>
    <row r="24" customFormat="false" ht="15.75" hidden="false" customHeight="true" outlineLevel="0" collapsed="false">
      <c r="B24" s="5" t="s">
        <v>492</v>
      </c>
      <c r="C24" s="5"/>
      <c r="D24" s="5"/>
    </row>
    <row r="25" customFormat="false" ht="15.75" hidden="false" customHeight="true" outlineLevel="0" collapsed="false">
      <c r="B25" s="6" t="s">
        <v>493</v>
      </c>
      <c r="C25" s="58" t="n">
        <v>64551</v>
      </c>
      <c r="D25" s="44" t="s">
        <v>483</v>
      </c>
    </row>
    <row r="26" customFormat="false" ht="15.75" hidden="false" customHeight="true" outlineLevel="0" collapsed="false">
      <c r="B26" s="6" t="s">
        <v>494</v>
      </c>
      <c r="C26" s="24" t="n">
        <v>34153</v>
      </c>
      <c r="D26" s="44" t="e">
        <f aca="false">d&amp;a (default) | dp: maintenance = d&amp;a</f>
        <v>#VALUE!</v>
      </c>
    </row>
    <row r="27" customFormat="false" ht="15.75" hidden="false" customHeight="true" outlineLevel="0" collapsed="false">
      <c r="B27" s="6" t="s">
        <v>495</v>
      </c>
      <c r="C27" s="35" t="n">
        <f aca="false">MAX(0,C25-C26)</f>
        <v>30398</v>
      </c>
    </row>
    <row r="28" customFormat="false" ht="15.75" hidden="false" customHeight="true" outlineLevel="0" collapsed="false">
      <c r="B28" s="6" t="s">
        <v>496</v>
      </c>
      <c r="C28" s="24" t="n">
        <v>6000</v>
      </c>
      <c r="D28" s="44" t="s">
        <v>497</v>
      </c>
    </row>
    <row r="29" customFormat="false" ht="15.75" hidden="false" customHeight="true" outlineLevel="0" collapsed="false">
      <c r="B29" s="6" t="s">
        <v>498</v>
      </c>
      <c r="C29" s="58" t="n">
        <v>2807</v>
      </c>
      <c r="D29" s="44" t="s">
        <v>499</v>
      </c>
    </row>
    <row r="30" customFormat="false" ht="15.75" hidden="false" customHeight="true" outlineLevel="0" collapsed="false">
      <c r="B30" s="6" t="s">
        <v>500</v>
      </c>
      <c r="C30" s="58" t="n">
        <v>7053</v>
      </c>
      <c r="D30" s="44" t="s">
        <v>501</v>
      </c>
    </row>
    <row r="31" customFormat="false" ht="15.75" hidden="false" customHeight="true" outlineLevel="0" collapsed="false">
      <c r="B31" s="20" t="s">
        <v>502</v>
      </c>
      <c r="C31" s="26" t="n">
        <f aca="false">C27+C28+C29+C30</f>
        <v>46258</v>
      </c>
      <c r="D31" s="65"/>
    </row>
    <row r="32" customFormat="false" ht="15.75" hidden="false" customHeight="true" outlineLevel="0" collapsed="false">
      <c r="B32" s="20" t="s">
        <v>503</v>
      </c>
      <c r="C32" s="64" t="n">
        <f aca="false">C31/C13</f>
        <v>0.533972989679654</v>
      </c>
      <c r="D32" s="65"/>
    </row>
    <row r="34" customFormat="false" ht="15.75" hidden="false" customHeight="true" outlineLevel="0" collapsed="false">
      <c r="B34" s="5" t="s">
        <v>504</v>
      </c>
      <c r="C34" s="5"/>
      <c r="D34" s="5"/>
    </row>
    <row r="35" customFormat="false" ht="15.75" hidden="false" customHeight="true" outlineLevel="0" collapsed="false">
      <c r="B35" s="6" t="s">
        <v>505</v>
      </c>
      <c r="C35" s="57" t="n">
        <v>0.4</v>
      </c>
      <c r="D35" s="44" t="s">
        <v>506</v>
      </c>
    </row>
    <row r="36" customFormat="false" ht="15.75" hidden="false" customHeight="true" outlineLevel="0" collapsed="false">
      <c r="B36" s="6" t="s">
        <v>507</v>
      </c>
      <c r="C36" s="12" t="n">
        <f aca="false">C32*C35</f>
        <v>0.213589195871862</v>
      </c>
    </row>
    <row r="37" customFormat="false" ht="15.75" hidden="false" customHeight="true" outlineLevel="0" collapsed="false">
      <c r="B37" s="6" t="s">
        <v>508</v>
      </c>
      <c r="C37" s="57" t="n">
        <v>0.02</v>
      </c>
      <c r="D37" s="44" t="s">
        <v>509</v>
      </c>
    </row>
    <row r="38" customFormat="false" ht="15.75" hidden="false" customHeight="true" outlineLevel="0" collapsed="false">
      <c r="B38" s="20" t="s">
        <v>510</v>
      </c>
      <c r="C38" s="64" t="n">
        <f aca="false">C36+C37</f>
        <v>0.233589195871862</v>
      </c>
      <c r="D38" s="65"/>
    </row>
    <row r="40" customFormat="false" ht="15.75" hidden="false" customHeight="true" outlineLevel="0" collapsed="false">
      <c r="B40" s="5" t="s">
        <v>511</v>
      </c>
      <c r="C40" s="5"/>
      <c r="D40" s="5"/>
    </row>
    <row r="41" customFormat="false" ht="15.75" hidden="false" customHeight="true" outlineLevel="0" collapsed="false">
      <c r="B41" s="6" t="s">
        <v>512</v>
      </c>
      <c r="C41" s="76" t="n">
        <f aca="false">C14</f>
        <v>35.3158062723184</v>
      </c>
      <c r="D41" s="44" t="s">
        <v>513</v>
      </c>
    </row>
    <row r="42" customFormat="false" ht="15.75" hidden="false" customHeight="true" outlineLevel="0" collapsed="false">
      <c r="B42" s="6" t="s">
        <v>514</v>
      </c>
      <c r="C42" s="10" t="n">
        <v>5</v>
      </c>
      <c r="D42" s="44" t="s">
        <v>515</v>
      </c>
    </row>
    <row r="43" customFormat="false" ht="15.75" hidden="false" customHeight="true" outlineLevel="0" collapsed="false">
      <c r="B43" s="6" t="s">
        <v>516</v>
      </c>
      <c r="C43" s="77" t="n">
        <v>24</v>
      </c>
      <c r="D43" s="44" t="s">
        <v>517</v>
      </c>
    </row>
    <row r="44" customFormat="false" ht="15.75" hidden="false" customHeight="true" outlineLevel="0" collapsed="false">
      <c r="B44" s="6" t="s">
        <v>518</v>
      </c>
      <c r="C44" s="12" t="n">
        <f aca="false">(C43-C41)/C41</f>
        <v>-0.32041761088683</v>
      </c>
      <c r="D44" s="44" t="s">
        <v>519</v>
      </c>
    </row>
    <row r="45" customFormat="false" ht="15.75" hidden="false" customHeight="true" outlineLevel="0" collapsed="false">
      <c r="B45" s="20" t="s">
        <v>520</v>
      </c>
      <c r="C45" s="64" t="n">
        <f aca="false">(C43/C41)^(1/C42)-1</f>
        <v>-0.0743465520198342</v>
      </c>
      <c r="D45" s="70" t="s">
        <v>521</v>
      </c>
    </row>
    <row r="47" customFormat="false" ht="15.75" hidden="false" customHeight="true" outlineLevel="0" collapsed="false">
      <c r="B47" s="5" t="s">
        <v>522</v>
      </c>
      <c r="C47" s="5"/>
      <c r="D47" s="5"/>
    </row>
    <row r="48" customFormat="false" ht="15.75" hidden="false" customHeight="true" outlineLevel="0" collapsed="false">
      <c r="B48" s="6" t="s">
        <v>523</v>
      </c>
      <c r="C48" s="12" t="n">
        <f aca="false">C21+C38+C45</f>
        <v>0.172792019334761</v>
      </c>
    </row>
    <row r="49" customFormat="false" ht="15.75" hidden="false" customHeight="true" outlineLevel="0" collapsed="false">
      <c r="B49" s="6" t="s">
        <v>524</v>
      </c>
      <c r="C49" s="78" t="n">
        <f aca="false">(C7+C8)/C6</f>
        <v>0.01958634244742</v>
      </c>
      <c r="D49" s="44" t="s">
        <v>525</v>
      </c>
    </row>
    <row r="50" customFormat="false" ht="15.75" hidden="false" customHeight="true" outlineLevel="0" collapsed="false">
      <c r="B50" s="6" t="s">
        <v>526</v>
      </c>
      <c r="C50" s="12" t="n">
        <v>0.0191235888294712</v>
      </c>
      <c r="D50" s="44" t="s">
        <v>527</v>
      </c>
    </row>
    <row r="51" customFormat="false" ht="15.75" hidden="false" customHeight="true" outlineLevel="0" collapsed="false">
      <c r="B51" s="32" t="s">
        <v>528</v>
      </c>
      <c r="C51" s="67" t="n">
        <f aca="false">C48+C49*(C48-C50)</f>
        <v>0.175801821837995</v>
      </c>
      <c r="D51" s="68" t="e">
        <f aca="false">ret enterprise + d/e × (Ret − NetBorrowCost)</f>
        <v>#N/A</v>
      </c>
    </row>
    <row r="52" customFormat="false" ht="15.75" hidden="false" customHeight="true" outlineLevel="0" collapsed="false">
      <c r="B52" s="6" t="s">
        <v>529</v>
      </c>
      <c r="C52" s="57" t="n">
        <v>0.12</v>
      </c>
      <c r="D52" s="44" t="s">
        <v>530</v>
      </c>
    </row>
    <row r="53" customFormat="false" ht="15.75" hidden="false" customHeight="true" outlineLevel="0" collapsed="false">
      <c r="B53" s="32" t="s">
        <v>531</v>
      </c>
      <c r="C53" s="67" t="n">
        <f aca="false">C51-C52</f>
        <v>0.0558018218379947</v>
      </c>
      <c r="D53" s="79"/>
    </row>
    <row r="55" customFormat="false" ht="15" hidden="false" customHeight="false" outlineLevel="0" collapsed="false">
      <c r="B55" s="28" t="s">
        <v>532</v>
      </c>
    </row>
    <row r="56" customFormat="false" ht="15.75" hidden="false" customHeight="true" outlineLevel="0" collapsed="false">
      <c r="B56" s="6" t="s">
        <v>533</v>
      </c>
      <c r="C56" s="35" t="n">
        <f aca="false">C13-C31-C20</f>
        <v>-1081.14999999999</v>
      </c>
      <c r="D56" s="44" t="s">
        <v>534</v>
      </c>
    </row>
    <row r="57" customFormat="false" ht="15.75" hidden="false" customHeight="true" outlineLevel="0" collapsed="false">
      <c r="B57" s="6" t="s">
        <v>535</v>
      </c>
      <c r="C57" s="12" t="n">
        <f aca="false">C56/C13</f>
        <v>-0.0124801093387556</v>
      </c>
    </row>
    <row r="59" customFormat="false" ht="15" hidden="false" customHeight="false" outlineLevel="0" collapsed="false">
      <c r="B59" s="16" t="s">
        <v>85</v>
      </c>
      <c r="C59" s="16"/>
      <c r="D59" s="16"/>
    </row>
  </sheetData>
  <mergeCells count="10">
    <mergeCell ref="B2:D2"/>
    <mergeCell ref="B3:D3"/>
    <mergeCell ref="B5:D5"/>
    <mergeCell ref="B12:D12"/>
    <mergeCell ref="B16:D16"/>
    <mergeCell ref="B24:D24"/>
    <mergeCell ref="B34:D34"/>
    <mergeCell ref="B40:D40"/>
    <mergeCell ref="B47:D47"/>
    <mergeCell ref="B59:D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642"/>
    <pageSetUpPr fitToPage="false"/>
  </sheetPr>
  <dimension ref="B2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0"/>
  </cols>
  <sheetData>
    <row r="2" customFormat="false" ht="15" hidden="false" customHeight="false" outlineLevel="0" collapsed="false">
      <c r="B2" s="17" t="s">
        <v>536</v>
      </c>
      <c r="C2" s="17"/>
      <c r="D2" s="17"/>
      <c r="E2" s="17"/>
    </row>
    <row r="3" customFormat="false" ht="15" hidden="false" customHeight="false" outlineLevel="0" collapsed="false">
      <c r="B3" s="18" t="s">
        <v>537</v>
      </c>
      <c r="C3" s="18"/>
      <c r="D3" s="18"/>
      <c r="E3" s="18"/>
    </row>
    <row r="5" customFormat="false" ht="15.75" hidden="false" customHeight="true" outlineLevel="0" collapsed="false">
      <c r="B5" s="5" t="s">
        <v>538</v>
      </c>
      <c r="C5" s="5"/>
      <c r="D5" s="5"/>
      <c r="E5" s="5"/>
    </row>
    <row r="6" customFormat="false" ht="15.75" hidden="false" customHeight="true" outlineLevel="0" collapsed="false">
      <c r="B6" s="6" t="s">
        <v>539</v>
      </c>
      <c r="C6" s="80" t="n">
        <v>58.8972400857449</v>
      </c>
      <c r="D6" s="44" t="s">
        <v>540</v>
      </c>
    </row>
    <row r="7" customFormat="false" ht="15.75" hidden="false" customHeight="true" outlineLevel="0" collapsed="false">
      <c r="B7" s="6" t="s">
        <v>417</v>
      </c>
      <c r="C7" s="80" t="n">
        <v>134.8299708229</v>
      </c>
      <c r="D7" s="44" t="s">
        <v>541</v>
      </c>
    </row>
    <row r="8" customFormat="false" ht="15.75" hidden="false" customHeight="true" outlineLevel="0" collapsed="false">
      <c r="B8" s="6" t="s">
        <v>22</v>
      </c>
      <c r="C8" s="8" t="n">
        <v>414.44</v>
      </c>
      <c r="D8" s="44" t="s">
        <v>542</v>
      </c>
    </row>
    <row r="9" customFormat="false" ht="15.75" hidden="false" customHeight="true" outlineLevel="0" collapsed="false">
      <c r="B9" s="6" t="s">
        <v>543</v>
      </c>
      <c r="C9" s="14" t="n">
        <v>2.2892408987</v>
      </c>
      <c r="D9" s="44" t="s">
        <v>544</v>
      </c>
    </row>
    <row r="10" customFormat="false" ht="15.75" hidden="false" customHeight="true" outlineLevel="0" collapsed="false">
      <c r="B10" s="6" t="s">
        <v>545</v>
      </c>
      <c r="C10" s="14" t="n">
        <v>3.073797298</v>
      </c>
      <c r="D10" s="44" t="s">
        <v>546</v>
      </c>
    </row>
    <row r="11" customFormat="false" ht="15.75" hidden="false" customHeight="true" outlineLevel="0" collapsed="false">
      <c r="B11" s="6" t="s">
        <v>547</v>
      </c>
      <c r="C11" s="66" t="n">
        <v>0.1758018214</v>
      </c>
      <c r="D11" s="44" t="s">
        <v>548</v>
      </c>
    </row>
    <row r="12" customFormat="false" ht="15.75" hidden="false" customHeight="true" outlineLevel="0" collapsed="false">
      <c r="B12" s="6" t="s">
        <v>549</v>
      </c>
      <c r="C12" s="57" t="n">
        <v>0.12</v>
      </c>
      <c r="D12" s="44" t="s">
        <v>550</v>
      </c>
    </row>
    <row r="14" customFormat="false" ht="15.75" hidden="false" customHeight="true" outlineLevel="0" collapsed="false">
      <c r="B14" s="5" t="s">
        <v>551</v>
      </c>
      <c r="C14" s="5"/>
      <c r="D14" s="5"/>
      <c r="E14" s="5"/>
    </row>
    <row r="15" customFormat="false" ht="15.75" hidden="false" customHeight="true" outlineLevel="0" collapsed="false">
      <c r="B15" s="6" t="s">
        <v>552</v>
      </c>
      <c r="C15" s="12" t="n">
        <v>-2.073797298</v>
      </c>
      <c r="D15" s="44" t="s">
        <v>553</v>
      </c>
    </row>
    <row r="16" customFormat="false" ht="15.75" hidden="false" customHeight="true" outlineLevel="0" collapsed="false">
      <c r="B16" s="6" t="s">
        <v>554</v>
      </c>
      <c r="C16" s="12" t="n">
        <v>0.0558018214</v>
      </c>
      <c r="D16" s="44" t="s">
        <v>555</v>
      </c>
    </row>
    <row r="18" customFormat="false" ht="15.75" hidden="false" customHeight="true" outlineLevel="0" collapsed="false">
      <c r="B18" s="5" t="s">
        <v>556</v>
      </c>
      <c r="C18" s="5"/>
      <c r="D18" s="5"/>
      <c r="E18" s="5"/>
    </row>
    <row r="19" customFormat="false" ht="15.75" hidden="false" customHeight="true" outlineLevel="0" collapsed="false">
      <c r="B19" s="6" t="s">
        <v>388</v>
      </c>
      <c r="C19" s="12" t="n">
        <v>0.09</v>
      </c>
      <c r="D19" s="44" t="s">
        <v>557</v>
      </c>
    </row>
    <row r="20" customFormat="false" ht="15.75" hidden="false" customHeight="true" outlineLevel="0" collapsed="false">
      <c r="B20" s="6" t="s">
        <v>205</v>
      </c>
      <c r="C20" s="12" t="n">
        <v>0.399232060388171</v>
      </c>
      <c r="D20" s="44" t="s">
        <v>558</v>
      </c>
    </row>
    <row r="21" customFormat="false" ht="15.75" hidden="false" customHeight="true" outlineLevel="0" collapsed="false">
      <c r="B21" s="6" t="s">
        <v>559</v>
      </c>
      <c r="C21" s="12" t="n">
        <v>0.309232060388171</v>
      </c>
    </row>
    <row r="22" customFormat="false" ht="15.75" hidden="false" customHeight="true" outlineLevel="0" collapsed="false">
      <c r="B22" s="6" t="s">
        <v>42</v>
      </c>
      <c r="C22" s="12" t="n">
        <v>0.254188496542716</v>
      </c>
      <c r="D22" s="44" t="s">
        <v>560</v>
      </c>
    </row>
    <row r="23" customFormat="false" ht="15.75" hidden="false" customHeight="true" outlineLevel="0" collapsed="false">
      <c r="B23" s="6" t="s">
        <v>37</v>
      </c>
      <c r="C23" s="12" t="n">
        <v>0.456219562408599</v>
      </c>
      <c r="D23" s="44" t="s">
        <v>561</v>
      </c>
    </row>
    <row r="25" customFormat="false" ht="15" hidden="false" customHeight="false" outlineLevel="0" collapsed="false">
      <c r="B25" s="28" t="s">
        <v>562</v>
      </c>
    </row>
    <row r="26" customFormat="false" ht="30" hidden="false" customHeight="true" outlineLevel="0" collapsed="false">
      <c r="B26" s="81" t="s">
        <v>563</v>
      </c>
      <c r="C26" s="81"/>
      <c r="D26" s="81"/>
      <c r="E26" s="81"/>
    </row>
    <row r="27" customFormat="false" ht="30" hidden="false" customHeight="true" outlineLevel="0" collapsed="false">
      <c r="B27" s="81" t="s">
        <v>564</v>
      </c>
      <c r="C27" s="81"/>
      <c r="D27" s="81"/>
      <c r="E27" s="81"/>
    </row>
    <row r="28" customFormat="false" ht="30" hidden="false" customHeight="true" outlineLevel="0" collapsed="false">
      <c r="B28" s="81" t="s">
        <v>565</v>
      </c>
      <c r="C28" s="81"/>
      <c r="D28" s="81"/>
      <c r="E28" s="81"/>
    </row>
    <row r="29" customFormat="false" ht="30" hidden="false" customHeight="true" outlineLevel="0" collapsed="false">
      <c r="B29" s="81" t="s">
        <v>566</v>
      </c>
      <c r="C29" s="81"/>
      <c r="D29" s="81"/>
      <c r="E29" s="81"/>
    </row>
    <row r="30" customFormat="false" ht="30" hidden="false" customHeight="true" outlineLevel="0" collapsed="false">
      <c r="B30" s="81" t="s">
        <v>567</v>
      </c>
      <c r="C30" s="81"/>
      <c r="D30" s="81"/>
      <c r="E30" s="81"/>
    </row>
    <row r="32" customFormat="false" ht="15.75" hidden="false" customHeight="true" outlineLevel="0" collapsed="false">
      <c r="B32" s="5" t="s">
        <v>568</v>
      </c>
      <c r="C32" s="5"/>
      <c r="D32" s="5"/>
      <c r="E32" s="5"/>
    </row>
    <row r="33" customFormat="false" ht="15.75" hidden="false" customHeight="true" outlineLevel="0" collapsed="false">
      <c r="B33" s="19" t="s">
        <v>569</v>
      </c>
      <c r="C33" s="19" t="s">
        <v>570</v>
      </c>
      <c r="D33" s="19" t="s">
        <v>571</v>
      </c>
      <c r="E33" s="19" t="s">
        <v>572</v>
      </c>
    </row>
    <row r="34" customFormat="false" ht="19.5" hidden="false" customHeight="true" outlineLevel="0" collapsed="false">
      <c r="B34" s="82" t="n">
        <v>1</v>
      </c>
      <c r="C34" s="6" t="s">
        <v>573</v>
      </c>
      <c r="D34" s="15" t="s">
        <v>574</v>
      </c>
      <c r="E34" s="44" t="s">
        <v>575</v>
      </c>
    </row>
    <row r="35" customFormat="false" ht="19.5" hidden="false" customHeight="true" outlineLevel="0" collapsed="false">
      <c r="B35" s="82" t="n">
        <v>2</v>
      </c>
      <c r="C35" s="6" t="s">
        <v>576</v>
      </c>
      <c r="D35" s="15" t="s">
        <v>577</v>
      </c>
      <c r="E35" s="44" t="s">
        <v>578</v>
      </c>
    </row>
    <row r="36" customFormat="false" ht="19.5" hidden="false" customHeight="true" outlineLevel="0" collapsed="false">
      <c r="B36" s="82" t="n">
        <v>3</v>
      </c>
      <c r="C36" s="6" t="s">
        <v>579</v>
      </c>
      <c r="D36" s="15" t="s">
        <v>580</v>
      </c>
      <c r="E36" s="44" t="s">
        <v>581</v>
      </c>
    </row>
    <row r="37" customFormat="false" ht="19.5" hidden="false" customHeight="true" outlineLevel="0" collapsed="false">
      <c r="B37" s="82" t="n">
        <v>4</v>
      </c>
      <c r="C37" s="6" t="s">
        <v>582</v>
      </c>
      <c r="D37" s="15" t="s">
        <v>583</v>
      </c>
      <c r="E37" s="44" t="s">
        <v>584</v>
      </c>
    </row>
    <row r="38" customFormat="false" ht="19.5" hidden="false" customHeight="true" outlineLevel="0" collapsed="false">
      <c r="B38" s="82" t="n">
        <v>5</v>
      </c>
      <c r="C38" s="6" t="s">
        <v>337</v>
      </c>
      <c r="D38" s="15" t="s">
        <v>585</v>
      </c>
      <c r="E38" s="44" t="s">
        <v>586</v>
      </c>
    </row>
    <row r="39" customFormat="false" ht="19.5" hidden="false" customHeight="true" outlineLevel="0" collapsed="false">
      <c r="B39" s="82" t="n">
        <v>6</v>
      </c>
      <c r="C39" s="6" t="s">
        <v>329</v>
      </c>
      <c r="D39" s="15" t="s">
        <v>587</v>
      </c>
      <c r="E39" s="44" t="s">
        <v>588</v>
      </c>
    </row>
    <row r="40" customFormat="false" ht="19.5" hidden="false" customHeight="true" outlineLevel="0" collapsed="false">
      <c r="B40" s="82" t="n">
        <v>7</v>
      </c>
      <c r="C40" s="6" t="s">
        <v>589</v>
      </c>
      <c r="D40" s="15" t="s">
        <v>590</v>
      </c>
      <c r="E40" s="44" t="s">
        <v>591</v>
      </c>
    </row>
    <row r="41" customFormat="false" ht="19.5" hidden="false" customHeight="true" outlineLevel="0" collapsed="false">
      <c r="B41" s="82" t="n">
        <v>8</v>
      </c>
      <c r="C41" s="6" t="s">
        <v>327</v>
      </c>
      <c r="D41" s="15" t="s">
        <v>592</v>
      </c>
      <c r="E41" s="44" t="s">
        <v>593</v>
      </c>
    </row>
    <row r="42" customFormat="false" ht="19.5" hidden="false" customHeight="true" outlineLevel="0" collapsed="false">
      <c r="B42" s="82" t="n">
        <v>9</v>
      </c>
      <c r="C42" s="6" t="s">
        <v>594</v>
      </c>
      <c r="D42" s="15" t="s">
        <v>595</v>
      </c>
      <c r="E42" s="44" t="s">
        <v>596</v>
      </c>
    </row>
    <row r="43" customFormat="false" ht="19.5" hidden="false" customHeight="true" outlineLevel="0" collapsed="false">
      <c r="B43" s="82" t="n">
        <v>10</v>
      </c>
      <c r="C43" s="6" t="s">
        <v>597</v>
      </c>
      <c r="D43" s="15" t="s">
        <v>598</v>
      </c>
      <c r="E43" s="44" t="s">
        <v>599</v>
      </c>
    </row>
    <row r="44" customFormat="false" ht="19.5" hidden="false" customHeight="true" outlineLevel="0" collapsed="false">
      <c r="B44" s="82" t="n">
        <v>11</v>
      </c>
      <c r="C44" s="6" t="s">
        <v>600</v>
      </c>
      <c r="D44" s="15" t="s">
        <v>601</v>
      </c>
      <c r="E44" s="44" t="s">
        <v>602</v>
      </c>
    </row>
    <row r="45" customFormat="false" ht="19.5" hidden="false" customHeight="true" outlineLevel="0" collapsed="false">
      <c r="B45" s="82" t="n">
        <v>12</v>
      </c>
      <c r="C45" s="6" t="s">
        <v>603</v>
      </c>
      <c r="D45" s="15" t="s">
        <v>604</v>
      </c>
      <c r="E45" s="44" t="s">
        <v>605</v>
      </c>
    </row>
    <row r="46" customFormat="false" ht="19.5" hidden="false" customHeight="true" outlineLevel="0" collapsed="false">
      <c r="B46" s="82" t="n">
        <v>13</v>
      </c>
      <c r="C46" s="6" t="s">
        <v>606</v>
      </c>
      <c r="D46" s="15" t="s">
        <v>607</v>
      </c>
      <c r="E46" s="44" t="s">
        <v>608</v>
      </c>
    </row>
    <row r="47" customFormat="false" ht="19.5" hidden="false" customHeight="true" outlineLevel="0" collapsed="false">
      <c r="B47" s="82" t="n">
        <v>14</v>
      </c>
      <c r="C47" s="6" t="s">
        <v>609</v>
      </c>
      <c r="D47" s="15" t="s">
        <v>610</v>
      </c>
      <c r="E47" s="44" t="s">
        <v>611</v>
      </c>
    </row>
    <row r="48" customFormat="false" ht="19.5" hidden="false" customHeight="true" outlineLevel="0" collapsed="false">
      <c r="B48" s="82" t="n">
        <v>15</v>
      </c>
      <c r="C48" s="6" t="s">
        <v>612</v>
      </c>
      <c r="D48" s="15" t="s">
        <v>613</v>
      </c>
      <c r="E48" s="44" t="s">
        <v>614</v>
      </c>
    </row>
    <row r="49" customFormat="false" ht="19.5" hidden="false" customHeight="true" outlineLevel="0" collapsed="false">
      <c r="B49" s="82" t="n">
        <v>16</v>
      </c>
      <c r="C49" s="6" t="s">
        <v>615</v>
      </c>
      <c r="D49" s="15" t="s">
        <v>616</v>
      </c>
      <c r="E49" s="44" t="s">
        <v>617</v>
      </c>
    </row>
    <row r="50" customFormat="false" ht="19.5" hidden="false" customHeight="true" outlineLevel="0" collapsed="false">
      <c r="B50" s="82" t="n">
        <v>17</v>
      </c>
      <c r="C50" s="6" t="s">
        <v>618</v>
      </c>
      <c r="D50" s="15" t="s">
        <v>619</v>
      </c>
      <c r="E50" s="44" t="s">
        <v>620</v>
      </c>
    </row>
    <row r="52" customFormat="false" ht="15" hidden="false" customHeight="false" outlineLevel="0" collapsed="false">
      <c r="B52" s="16" t="s">
        <v>85</v>
      </c>
      <c r="C52" s="16"/>
      <c r="D52" s="16"/>
      <c r="E52" s="16"/>
    </row>
  </sheetData>
  <mergeCells count="12">
    <mergeCell ref="B2:E2"/>
    <mergeCell ref="B3:E3"/>
    <mergeCell ref="B5:E5"/>
    <mergeCell ref="B14:E14"/>
    <mergeCell ref="B18:E18"/>
    <mergeCell ref="B26:E26"/>
    <mergeCell ref="B27:E27"/>
    <mergeCell ref="B28:E28"/>
    <mergeCell ref="B29:E29"/>
    <mergeCell ref="B30:E30"/>
    <mergeCell ref="B32:E32"/>
    <mergeCell ref="B52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B2:E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40"/>
  </cols>
  <sheetData>
    <row r="2" customFormat="false" ht="15" hidden="false" customHeight="false" outlineLevel="0" collapsed="false">
      <c r="B2" s="17" t="s">
        <v>621</v>
      </c>
      <c r="C2" s="17"/>
      <c r="D2" s="17"/>
    </row>
    <row r="3" customFormat="false" ht="15" hidden="false" customHeight="false" outlineLevel="0" collapsed="false">
      <c r="B3" s="18" t="s">
        <v>622</v>
      </c>
      <c r="C3" s="18"/>
      <c r="D3" s="18"/>
    </row>
    <row r="4" customFormat="false" ht="15.75" hidden="false" customHeight="true" outlineLevel="0" collapsed="false">
      <c r="B4" s="19" t="s">
        <v>623</v>
      </c>
      <c r="C4" s="19" t="s">
        <v>624</v>
      </c>
      <c r="D4" s="19" t="s">
        <v>184</v>
      </c>
    </row>
    <row r="5" customFormat="false" ht="18" hidden="false" customHeight="true" outlineLevel="0" collapsed="false">
      <c r="B5" s="18" t="s">
        <v>625</v>
      </c>
      <c r="C5" s="18"/>
      <c r="D5" s="18"/>
    </row>
    <row r="6" customFormat="false" ht="15.75" hidden="false" customHeight="true" outlineLevel="0" collapsed="false">
      <c r="B6" s="6" t="s">
        <v>626</v>
      </c>
      <c r="C6" s="43" t="s">
        <v>627</v>
      </c>
      <c r="D6" s="44" t="s">
        <v>628</v>
      </c>
    </row>
    <row r="7" customFormat="false" ht="15.75" hidden="false" customHeight="true" outlineLevel="0" collapsed="false">
      <c r="B7" s="6" t="s">
        <v>629</v>
      </c>
      <c r="C7" s="43" t="s">
        <v>630</v>
      </c>
      <c r="D7" s="44" t="s">
        <v>631</v>
      </c>
    </row>
    <row r="8" customFormat="false" ht="15.75" hidden="false" customHeight="true" outlineLevel="0" collapsed="false">
      <c r="B8" s="6" t="s">
        <v>632</v>
      </c>
      <c r="C8" s="43" t="s">
        <v>630</v>
      </c>
      <c r="D8" s="44" t="s">
        <v>633</v>
      </c>
    </row>
    <row r="9" customFormat="false" ht="15.75" hidden="false" customHeight="true" outlineLevel="0" collapsed="false">
      <c r="B9" s="6" t="s">
        <v>634</v>
      </c>
      <c r="C9" s="43" t="s">
        <v>630</v>
      </c>
      <c r="D9" s="44" t="s">
        <v>635</v>
      </c>
    </row>
    <row r="10" customFormat="false" ht="15.75" hidden="false" customHeight="true" outlineLevel="0" collapsed="false">
      <c r="B10" s="6" t="s">
        <v>636</v>
      </c>
      <c r="C10" s="43" t="s">
        <v>630</v>
      </c>
      <c r="D10" s="44" t="s">
        <v>637</v>
      </c>
    </row>
    <row r="11" customFormat="false" ht="15.75" hidden="false" customHeight="true" outlineLevel="0" collapsed="false">
      <c r="B11" s="6" t="s">
        <v>638</v>
      </c>
      <c r="C11" s="43" t="s">
        <v>630</v>
      </c>
      <c r="D11" s="44" t="s">
        <v>639</v>
      </c>
    </row>
    <row r="12" customFormat="false" ht="15.75" hidden="false" customHeight="true" outlineLevel="0" collapsed="false">
      <c r="B12" s="6" t="s">
        <v>640</v>
      </c>
      <c r="C12" s="43" t="s">
        <v>630</v>
      </c>
      <c r="D12" s="44" t="s">
        <v>641</v>
      </c>
    </row>
    <row r="13" customFormat="false" ht="15.75" hidden="false" customHeight="true" outlineLevel="0" collapsed="false">
      <c r="B13" s="6" t="s">
        <v>642</v>
      </c>
      <c r="C13" s="43" t="s">
        <v>630</v>
      </c>
      <c r="D13" s="44" t="s">
        <v>643</v>
      </c>
    </row>
    <row r="14" customFormat="false" ht="15.75" hidden="false" customHeight="true" outlineLevel="0" collapsed="false">
      <c r="B14" s="6" t="s">
        <v>644</v>
      </c>
      <c r="C14" s="43" t="s">
        <v>630</v>
      </c>
      <c r="D14" s="44" t="s">
        <v>645</v>
      </c>
    </row>
    <row r="15" customFormat="false" ht="15.75" hidden="false" customHeight="true" outlineLevel="0" collapsed="false">
      <c r="B15" s="6" t="s">
        <v>646</v>
      </c>
      <c r="C15" s="43" t="s">
        <v>630</v>
      </c>
      <c r="D15" s="44" t="s">
        <v>647</v>
      </c>
    </row>
    <row r="16" customFormat="false" ht="15.75" hidden="false" customHeight="true" outlineLevel="0" collapsed="false">
      <c r="B16" s="6" t="s">
        <v>648</v>
      </c>
      <c r="C16" s="43" t="s">
        <v>630</v>
      </c>
      <c r="D16" s="44" t="s">
        <v>649</v>
      </c>
    </row>
    <row r="18" customFormat="false" ht="18" hidden="false" customHeight="true" outlineLevel="0" collapsed="false">
      <c r="B18" s="18" t="s">
        <v>650</v>
      </c>
      <c r="C18" s="18"/>
      <c r="D18" s="18"/>
    </row>
    <row r="19" customFormat="false" ht="15.75" hidden="false" customHeight="true" outlineLevel="0" collapsed="false">
      <c r="B19" s="6" t="s">
        <v>651</v>
      </c>
      <c r="C19" s="43" t="s">
        <v>652</v>
      </c>
      <c r="D19" s="44" t="s">
        <v>653</v>
      </c>
    </row>
    <row r="20" customFormat="false" ht="15.75" hidden="false" customHeight="true" outlineLevel="0" collapsed="false">
      <c r="B20" s="6" t="s">
        <v>654</v>
      </c>
      <c r="C20" s="43" t="s">
        <v>655</v>
      </c>
      <c r="D20" s="44" t="s">
        <v>656</v>
      </c>
    </row>
    <row r="21" customFormat="false" ht="15.75" hidden="false" customHeight="true" outlineLevel="0" collapsed="false">
      <c r="B21" s="6" t="s">
        <v>657</v>
      </c>
      <c r="C21" s="43" t="s">
        <v>658</v>
      </c>
      <c r="D21" s="44" t="s">
        <v>659</v>
      </c>
    </row>
    <row r="22" customFormat="false" ht="15.75" hidden="false" customHeight="true" outlineLevel="0" collapsed="false">
      <c r="B22" s="6" t="s">
        <v>660</v>
      </c>
      <c r="C22" s="43" t="s">
        <v>661</v>
      </c>
      <c r="D22" s="44" t="s">
        <v>662</v>
      </c>
    </row>
    <row r="23" customFormat="false" ht="15.75" hidden="false" customHeight="true" outlineLevel="0" collapsed="false">
      <c r="B23" s="6" t="s">
        <v>663</v>
      </c>
      <c r="C23" s="43" t="s">
        <v>664</v>
      </c>
      <c r="D23" s="44" t="s">
        <v>665</v>
      </c>
    </row>
    <row r="24" customFormat="false" ht="15.75" hidden="false" customHeight="true" outlineLevel="0" collapsed="false">
      <c r="B24" s="6" t="s">
        <v>666</v>
      </c>
      <c r="C24" s="43" t="s">
        <v>667</v>
      </c>
      <c r="D24" s="44" t="s">
        <v>668</v>
      </c>
    </row>
    <row r="25" customFormat="false" ht="15.75" hidden="false" customHeight="true" outlineLevel="0" collapsed="false">
      <c r="B25" s="6" t="s">
        <v>669</v>
      </c>
      <c r="C25" s="43" t="s">
        <v>670</v>
      </c>
      <c r="D25" s="44" t="e">
        <f aca="false">{rev_base_v:,} × {MARGIN_NORM_V:.0%} × (1-{TAX_NORM_V:.0%}) → ${NOPAT_NORM_V:,.0f}M</f>
        <v>#N/A</v>
      </c>
    </row>
    <row r="26" customFormat="false" ht="15.75" hidden="false" customHeight="true" outlineLevel="0" collapsed="false">
      <c r="B26" s="6" t="s">
        <v>671</v>
      </c>
      <c r="C26" s="43" t="s">
        <v>630</v>
      </c>
      <c r="D26" s="44" t="s">
        <v>672</v>
      </c>
    </row>
    <row r="27" customFormat="false" ht="15.75" hidden="false" customHeight="true" outlineLevel="0" collapsed="false">
      <c r="B27" s="6" t="s">
        <v>673</v>
      </c>
      <c r="C27" s="43" t="s">
        <v>630</v>
      </c>
      <c r="D27" s="44" t="s">
        <v>674</v>
      </c>
    </row>
    <row r="28" customFormat="false" ht="15.75" hidden="false" customHeight="true" outlineLevel="0" collapsed="false">
      <c r="B28" s="6" t="s">
        <v>675</v>
      </c>
      <c r="C28" s="43" t="s">
        <v>630</v>
      </c>
      <c r="D28" s="44" t="s">
        <v>676</v>
      </c>
    </row>
    <row r="29" customFormat="false" ht="15.75" hidden="false" customHeight="true" outlineLevel="0" collapsed="false">
      <c r="B29" s="6" t="s">
        <v>677</v>
      </c>
      <c r="C29" s="43" t="s">
        <v>630</v>
      </c>
      <c r="D29" s="44" t="s">
        <v>678</v>
      </c>
    </row>
    <row r="31" customFormat="false" ht="18" hidden="false" customHeight="true" outlineLevel="0" collapsed="false">
      <c r="B31" s="18" t="s">
        <v>679</v>
      </c>
      <c r="C31" s="18"/>
      <c r="D31" s="18"/>
    </row>
    <row r="32" customFormat="false" ht="15.75" hidden="false" customHeight="true" outlineLevel="0" collapsed="false">
      <c r="B32" s="6" t="s">
        <v>680</v>
      </c>
      <c r="C32" s="43" t="s">
        <v>681</v>
      </c>
      <c r="D32" s="44" t="s">
        <v>682</v>
      </c>
    </row>
    <row r="33" customFormat="false" ht="15.75" hidden="false" customHeight="true" outlineLevel="0" collapsed="false">
      <c r="B33" s="6" t="s">
        <v>683</v>
      </c>
      <c r="C33" s="43" t="s">
        <v>684</v>
      </c>
      <c r="D33" s="44" t="s">
        <v>685</v>
      </c>
    </row>
    <row r="34" customFormat="false" ht="15.75" hidden="false" customHeight="true" outlineLevel="0" collapsed="false">
      <c r="B34" s="6" t="s">
        <v>686</v>
      </c>
      <c r="C34" s="43" t="s">
        <v>670</v>
      </c>
      <c r="D34" s="44" t="s">
        <v>687</v>
      </c>
    </row>
    <row r="35" customFormat="false" ht="15.75" hidden="false" customHeight="true" outlineLevel="0" collapsed="false">
      <c r="B35" s="6" t="s">
        <v>688</v>
      </c>
      <c r="C35" s="43" t="s">
        <v>689</v>
      </c>
      <c r="D35" s="44" t="s">
        <v>690</v>
      </c>
    </row>
    <row r="36" customFormat="false" ht="15.75" hidden="false" customHeight="true" outlineLevel="0" collapsed="false">
      <c r="B36" s="6" t="s">
        <v>691</v>
      </c>
      <c r="C36" s="43" t="s">
        <v>692</v>
      </c>
      <c r="D36" s="44" t="s">
        <v>693</v>
      </c>
    </row>
    <row r="37" customFormat="false" ht="15.75" hidden="false" customHeight="true" outlineLevel="0" collapsed="false">
      <c r="B37" s="6" t="s">
        <v>694</v>
      </c>
      <c r="C37" s="43" t="s">
        <v>695</v>
      </c>
      <c r="D37" s="44" t="s">
        <v>696</v>
      </c>
    </row>
    <row r="38" customFormat="false" ht="15.75" hidden="false" customHeight="true" outlineLevel="0" collapsed="false">
      <c r="B38" s="6" t="s">
        <v>697</v>
      </c>
      <c r="C38" s="43" t="s">
        <v>698</v>
      </c>
      <c r="D38" s="44" t="s">
        <v>699</v>
      </c>
    </row>
    <row r="40" customFormat="false" ht="18" hidden="false" customHeight="true" outlineLevel="0" collapsed="false">
      <c r="B40" s="18" t="s">
        <v>700</v>
      </c>
      <c r="C40" s="18"/>
      <c r="D40" s="18"/>
    </row>
    <row r="41" customFormat="false" ht="15.75" hidden="false" customHeight="true" outlineLevel="0" collapsed="false">
      <c r="B41" s="6" t="s">
        <v>701</v>
      </c>
      <c r="C41" s="43" t="s">
        <v>702</v>
      </c>
      <c r="D41" s="44" t="e">
        <f aca="false">4.39% + 1.04×4.5%</f>
        <v>#N/A</v>
      </c>
    </row>
    <row r="42" customFormat="false" ht="15.75" hidden="false" customHeight="true" outlineLevel="0" collapsed="false">
      <c r="B42" s="6" t="s">
        <v>703</v>
      </c>
      <c r="C42" s="43" t="s">
        <v>704</v>
      </c>
      <c r="D42" s="44" t="e">
        <f aca="false">4.8% × (1−18%)</f>
        <v>#N/A</v>
      </c>
    </row>
    <row r="43" customFormat="false" ht="15.75" hidden="false" customHeight="true" outlineLevel="0" collapsed="false">
      <c r="B43" s="6" t="s">
        <v>705</v>
      </c>
      <c r="C43" s="43" t="s">
        <v>664</v>
      </c>
      <c r="D43" s="44" t="e">
        <f aca="false">0.0907×0.986 + 0.0394×0.014</f>
        <v>#N/A</v>
      </c>
    </row>
    <row r="44" customFormat="false" ht="15.75" hidden="false" customHeight="true" outlineLevel="0" collapsed="false">
      <c r="B44" s="6" t="s">
        <v>706</v>
      </c>
      <c r="C44" s="43" t="s">
        <v>630</v>
      </c>
      <c r="D44" s="44" t="s">
        <v>707</v>
      </c>
    </row>
    <row r="46" customFormat="false" ht="18" hidden="false" customHeight="true" outlineLevel="0" collapsed="false">
      <c r="B46" s="18" t="s">
        <v>708</v>
      </c>
      <c r="C46" s="18"/>
      <c r="D46" s="18"/>
    </row>
    <row r="47" customFormat="false" ht="15.75" hidden="false" customHeight="true" outlineLevel="0" collapsed="false">
      <c r="B47" s="6" t="s">
        <v>709</v>
      </c>
      <c r="C47" s="43" t="s">
        <v>710</v>
      </c>
      <c r="D47" s="44" t="s">
        <v>711</v>
      </c>
    </row>
    <row r="48" customFormat="false" ht="15.75" hidden="false" customHeight="true" outlineLevel="0" collapsed="false">
      <c r="B48" s="6" t="s">
        <v>712</v>
      </c>
      <c r="C48" s="43" t="s">
        <v>710</v>
      </c>
      <c r="D48" s="44" t="s">
        <v>713</v>
      </c>
    </row>
    <row r="49" customFormat="false" ht="15.75" hidden="false" customHeight="true" outlineLevel="0" collapsed="false">
      <c r="B49" s="6" t="s">
        <v>714</v>
      </c>
      <c r="C49" s="43" t="s">
        <v>715</v>
      </c>
      <c r="D49" s="44" t="e">
        <f aca="false">totlv_row + toteq_row cells</f>
        <v>#VALUE!</v>
      </c>
    </row>
    <row r="51" customFormat="false" ht="18" hidden="false" customHeight="true" outlineLevel="0" collapsed="false">
      <c r="B51" s="18" t="s">
        <v>716</v>
      </c>
      <c r="C51" s="18"/>
      <c r="D51" s="18"/>
    </row>
    <row r="52" customFormat="false" ht="15.75" hidden="false" customHeight="true" outlineLevel="0" collapsed="false">
      <c r="B52" s="6" t="s">
        <v>717</v>
      </c>
      <c r="C52" s="43" t="s">
        <v>188</v>
      </c>
      <c r="D52" s="44" t="s">
        <v>718</v>
      </c>
    </row>
    <row r="53" customFormat="false" ht="15.75" hidden="false" customHeight="true" outlineLevel="0" collapsed="false">
      <c r="B53" s="6" t="s">
        <v>719</v>
      </c>
      <c r="C53" s="43" t="s">
        <v>188</v>
      </c>
      <c r="D53" s="44" t="s">
        <v>720</v>
      </c>
    </row>
    <row r="54" customFormat="false" ht="15.75" hidden="false" customHeight="true" outlineLevel="0" collapsed="false">
      <c r="B54" s="6" t="s">
        <v>721</v>
      </c>
      <c r="C54" s="43" t="s">
        <v>188</v>
      </c>
      <c r="D54" s="44" t="s">
        <v>722</v>
      </c>
    </row>
    <row r="55" customFormat="false" ht="15.75" hidden="false" customHeight="true" outlineLevel="0" collapsed="false">
      <c r="B55" s="6" t="s">
        <v>723</v>
      </c>
      <c r="C55" s="43" t="s">
        <v>188</v>
      </c>
      <c r="D55" s="44" t="s">
        <v>724</v>
      </c>
    </row>
    <row r="56" customFormat="false" ht="15.75" hidden="false" customHeight="true" outlineLevel="0" collapsed="false">
      <c r="B56" s="6" t="s">
        <v>725</v>
      </c>
      <c r="C56" s="43" t="s">
        <v>188</v>
      </c>
      <c r="D56" s="44" t="s">
        <v>726</v>
      </c>
    </row>
    <row r="57" customFormat="false" ht="15.75" hidden="false" customHeight="true" outlineLevel="0" collapsed="false">
      <c r="B57" s="6" t="s">
        <v>727</v>
      </c>
      <c r="C57" s="43" t="s">
        <v>188</v>
      </c>
      <c r="D57" s="44" t="s">
        <v>728</v>
      </c>
    </row>
    <row r="58" customFormat="false" ht="15.75" hidden="false" customHeight="true" outlineLevel="0" collapsed="false">
      <c r="B58" s="6" t="s">
        <v>729</v>
      </c>
      <c r="C58" s="43" t="s">
        <v>188</v>
      </c>
      <c r="D58" s="44" t="s">
        <v>730</v>
      </c>
    </row>
    <row r="59" customFormat="false" ht="15.75" hidden="false" customHeight="true" outlineLevel="0" collapsed="false">
      <c r="B59" s="6" t="s">
        <v>731</v>
      </c>
      <c r="C59" s="43" t="s">
        <v>188</v>
      </c>
      <c r="D59" s="44" t="s">
        <v>732</v>
      </c>
    </row>
    <row r="60" customFormat="false" ht="15.75" hidden="false" customHeight="true" outlineLevel="0" collapsed="false">
      <c r="B60" s="6" t="s">
        <v>733</v>
      </c>
      <c r="C60" s="43" t="s">
        <v>188</v>
      </c>
      <c r="D60" s="44" t="s">
        <v>734</v>
      </c>
    </row>
    <row r="61" customFormat="false" ht="15.75" hidden="false" customHeight="true" outlineLevel="0" collapsed="false">
      <c r="B61" s="6" t="s">
        <v>735</v>
      </c>
      <c r="C61" s="43" t="s">
        <v>188</v>
      </c>
      <c r="D61" s="44" t="s">
        <v>736</v>
      </c>
    </row>
    <row r="62" customFormat="false" ht="15.75" hidden="false" customHeight="true" outlineLevel="0" collapsed="false">
      <c r="B62" s="6" t="s">
        <v>737</v>
      </c>
      <c r="C62" s="43" t="s">
        <v>188</v>
      </c>
      <c r="D62" s="44" t="s">
        <v>738</v>
      </c>
    </row>
    <row r="65" customFormat="false" ht="15" hidden="false" customHeight="false" outlineLevel="0" collapsed="false">
      <c r="B65" s="16" t="s">
        <v>739</v>
      </c>
      <c r="C65" s="16"/>
      <c r="D65" s="16"/>
    </row>
    <row r="67" customFormat="false" ht="15" hidden="false" customHeight="false" outlineLevel="0" collapsed="false">
      <c r="B67" s="83" t="s">
        <v>740</v>
      </c>
      <c r="C67" s="84"/>
      <c r="D67" s="84"/>
      <c r="E67" s="84"/>
    </row>
    <row r="68" customFormat="false" ht="15" hidden="false" customHeight="false" outlineLevel="0" collapsed="false">
      <c r="B68" s="85" t="s">
        <v>741</v>
      </c>
    </row>
    <row r="69" customFormat="false" ht="15" hidden="false" customHeight="false" outlineLevel="0" collapsed="false">
      <c r="B69" s="86" t="s">
        <v>742</v>
      </c>
      <c r="C69" s="0" t="s">
        <v>268</v>
      </c>
    </row>
    <row r="70" customFormat="false" ht="15" hidden="false" customHeight="false" outlineLevel="0" collapsed="false">
      <c r="B70" s="86" t="s">
        <v>743</v>
      </c>
      <c r="C70" s="0" t="s">
        <v>94</v>
      </c>
    </row>
    <row r="71" customFormat="false" ht="15" hidden="false" customHeight="false" outlineLevel="0" collapsed="false">
      <c r="B71" s="86" t="s">
        <v>744</v>
      </c>
      <c r="C71" s="0" t="s">
        <v>745</v>
      </c>
    </row>
    <row r="73" customFormat="false" ht="15" hidden="false" customHeight="false" outlineLevel="0" collapsed="false">
      <c r="B73" s="85" t="s">
        <v>746</v>
      </c>
    </row>
    <row r="74" customFormat="false" ht="15" hidden="false" customHeight="false" outlineLevel="0" collapsed="false">
      <c r="B74" s="87" t="s">
        <v>747</v>
      </c>
      <c r="C74" s="87" t="s">
        <v>748</v>
      </c>
      <c r="D74" s="87" t="s">
        <v>94</v>
      </c>
      <c r="E74" s="87" t="s">
        <v>749</v>
      </c>
    </row>
    <row r="75" customFormat="false" ht="15" hidden="false" customHeight="false" outlineLevel="0" collapsed="false">
      <c r="B75" s="0" t="s">
        <v>122</v>
      </c>
      <c r="C75" s="88" t="n">
        <v>64323</v>
      </c>
      <c r="D75" s="88" t="n">
        <v>46123</v>
      </c>
      <c r="E75" s="89" t="n">
        <v>-0.282947001850038</v>
      </c>
    </row>
    <row r="76" customFormat="false" ht="15" hidden="false" customHeight="false" outlineLevel="0" collapsed="false">
      <c r="B76" s="0" t="s">
        <v>369</v>
      </c>
      <c r="C76" s="88" t="n">
        <v>-64551</v>
      </c>
      <c r="D76" s="88" t="n">
        <v>-97225</v>
      </c>
      <c r="E76" s="90" t="n">
        <v>-0.506173413270128</v>
      </c>
    </row>
    <row r="77" customFormat="false" ht="15" hidden="false" customHeight="false" outlineLevel="0" collapsed="false">
      <c r="B77" s="0" t="s">
        <v>750</v>
      </c>
      <c r="C77" s="88" t="n">
        <v>-17700</v>
      </c>
      <c r="D77" s="88" t="n">
        <v>-22238</v>
      </c>
      <c r="E77" s="89" t="n">
        <v>-0.25638418079096</v>
      </c>
    </row>
    <row r="79" customFormat="false" ht="15" hidden="false" customHeight="false" outlineLevel="0" collapsed="false">
      <c r="B79" s="85" t="s">
        <v>751</v>
      </c>
    </row>
    <row r="80" customFormat="false" ht="15" hidden="false" customHeight="false" outlineLevel="0" collapsed="false">
      <c r="B80" s="0" t="s">
        <v>752</v>
      </c>
    </row>
    <row r="82" customFormat="false" ht="15" hidden="false" customHeight="false" outlineLevel="0" collapsed="false">
      <c r="B82" s="85" t="s">
        <v>753</v>
      </c>
      <c r="C82" s="0" t="s">
        <v>754</v>
      </c>
    </row>
    <row r="83" customFormat="false" ht="15" hidden="false" customHeight="false" outlineLevel="0" collapsed="false">
      <c r="B83" s="85" t="s">
        <v>755</v>
      </c>
      <c r="C83" s="0" t="s">
        <v>756</v>
      </c>
    </row>
    <row r="84" customFormat="false" ht="15" hidden="false" customHeight="false" outlineLevel="0" collapsed="false">
      <c r="B84" s="85" t="s">
        <v>757</v>
      </c>
      <c r="C84" s="0" t="s">
        <v>758</v>
      </c>
    </row>
    <row r="85" customFormat="false" ht="15" hidden="false" customHeight="false" outlineLevel="0" collapsed="false">
      <c r="B85" s="85" t="s">
        <v>759</v>
      </c>
      <c r="C85" s="0" t="s">
        <v>760</v>
      </c>
    </row>
  </sheetData>
  <mergeCells count="9">
    <mergeCell ref="B2:D2"/>
    <mergeCell ref="B3:D3"/>
    <mergeCell ref="B5:D5"/>
    <mergeCell ref="B18:D18"/>
    <mergeCell ref="B31:D31"/>
    <mergeCell ref="B40:D40"/>
    <mergeCell ref="B46:D46"/>
    <mergeCell ref="B51:D51"/>
    <mergeCell ref="B65:D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2026-05-04T11:08:25Z</dcterms:created>
  <dc:creator>openpyxl</dc:creator>
  <dc:description/>
  <dc:language>en-US</dc:language>
  <cp:lastModifiedBy/>
  <dcterms:modified xsi:type="dcterms:W3CDTF">2026-05-07T11:37:40Z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