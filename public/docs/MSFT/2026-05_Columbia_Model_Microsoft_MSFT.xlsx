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IS" sheetId="2" state="visible" r:id="rId2"/>
    <sheet xmlns:r="http://schemas.openxmlformats.org/officeDocument/2006/relationships" name="3. BS" sheetId="3" state="visible" r:id="rId3"/>
    <sheet xmlns:r="http://schemas.openxmlformats.org/officeDocument/2006/relationships" name="4. CF" sheetId="4" state="visible" r:id="rId4"/>
    <sheet xmlns:r="http://schemas.openxmlformats.org/officeDocument/2006/relationships" name="5. Health" sheetId="5" state="visible" r:id="rId5"/>
    <sheet xmlns:r="http://schemas.openxmlformats.org/officeDocument/2006/relationships" name="6. S&amp;M Cap" sheetId="6" state="visible" r:id="rId6"/>
    <sheet xmlns:r="http://schemas.openxmlformats.org/officeDocument/2006/relationships" name="7. R&amp;D Cap" sheetId="7" state="visible" r:id="rId7"/>
    <sheet xmlns:r="http://schemas.openxmlformats.org/officeDocument/2006/relationships" name="8. RV" sheetId="8" state="visible" r:id="rId8"/>
    <sheet xmlns:r="http://schemas.openxmlformats.org/officeDocument/2006/relationships" name="9. NOPAT" sheetId="9" state="visible" r:id="rId9"/>
    <sheet xmlns:r="http://schemas.openxmlformats.org/officeDocument/2006/relationships" name="10. EPV" sheetId="10" state="visible" r:id="rId10"/>
    <sheet xmlns:r="http://schemas.openxmlformats.org/officeDocument/2006/relationships" name="11. ROIC" sheetId="11" state="visible" r:id="rId11"/>
    <sheet xmlns:r="http://schemas.openxmlformats.org/officeDocument/2006/relationships" name="12. Implied IRR" sheetId="12" state="visible" r:id="rId12"/>
    <sheet xmlns:r="http://schemas.openxmlformats.org/officeDocument/2006/relationships" name="13. Summary" sheetId="13" state="visible" r:id="rId13"/>
    <sheet xmlns:r="http://schemas.openxmlformats.org/officeDocument/2006/relationships" name="14. Audi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&quot;x&quot;"/>
    <numFmt numFmtId="167" formatCode="#,##0;(#,##0);-"/>
  </numFmts>
  <fonts count="14">
    <font>
      <name val="Calibri"/>
      <family val="2"/>
      <color theme="1"/>
      <sz val="11"/>
      <scheme val="minor"/>
    </font>
    <font>
      <name val="Calibri"/>
      <b val="1"/>
      <color rgb="FF1B2642"/>
      <sz val="14"/>
    </font>
    <font>
      <name val="Calibri"/>
      <b val="1"/>
      <color rgb="FFB88B47"/>
      <sz val="11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color rgb="FF0000FF"/>
      <sz val="10"/>
    </font>
    <font>
      <name val="Calibri"/>
      <i val="1"/>
      <color rgb="FF666666"/>
      <sz val="9"/>
    </font>
    <font>
      <name val="Calibri"/>
      <i val="1"/>
      <color rgb="FF606060"/>
      <sz val="8"/>
    </font>
    <font>
      <name val="Calibri"/>
      <b val="1"/>
      <color rgb="FF1B2642"/>
      <sz val="12"/>
    </font>
    <font>
      <name val="Calibri"/>
      <b val="1"/>
      <color rgb="FF000000"/>
      <sz val="10"/>
    </font>
    <font>
      <name val="Calibri"/>
      <color rgb="FF008000"/>
      <sz val="10"/>
    </font>
    <font>
      <name val="Calibri"/>
      <color rgb="FFB88B47"/>
      <sz val="10"/>
    </font>
    <font>
      <name val="Calibri"/>
      <color rgb="000000FF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FF1B2642"/>
      </patternFill>
    </fill>
    <fill>
      <patternFill patternType="solid">
        <fgColor rgb="FFB88B47"/>
      </patternFill>
    </fill>
    <fill>
      <patternFill patternType="solid">
        <fgColor rgb="FFBDD7EE"/>
      </patternFill>
    </fill>
    <fill>
      <patternFill patternType="solid">
        <fgColor rgb="FFD6DCE4"/>
      </patternFill>
    </fill>
    <fill>
      <patternFill patternType="solid">
        <fgColor rgb="FFE6E6E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bottom style="thin">
        <color rgb="00C3C7D2"/>
      </bottom>
    </border>
    <border>
      <top style="thin">
        <color rgb="001B2642"/>
      </top>
      <bottom style="double">
        <color rgb="001B2642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167" fontId="5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67" fontId="5" fillId="0" borderId="0" applyAlignment="1" pivotButton="0" quotePrefix="0" xfId="0">
      <alignment horizontal="right" vertical="center"/>
    </xf>
    <xf numFmtId="167" fontId="9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 indent="2"/>
    </xf>
    <xf numFmtId="167" fontId="5" fillId="6" borderId="0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/>
    </xf>
    <xf numFmtId="167" fontId="9" fillId="7" borderId="2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165" fontId="4" fillId="6" borderId="0" applyAlignment="1" pivotButton="0" quotePrefix="0" xfId="0">
      <alignment horizontal="right" vertical="center"/>
    </xf>
    <xf numFmtId="3" fontId="4" fillId="6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right" vertical="center"/>
    </xf>
    <xf numFmtId="167" fontId="4" fillId="7" borderId="2" applyAlignment="1" pivotButton="0" quotePrefix="0" xfId="0">
      <alignment horizontal="right" vertical="center"/>
    </xf>
    <xf numFmtId="165" fontId="5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7" borderId="0" pivotButton="0" quotePrefix="0" xfId="0"/>
    <xf numFmtId="164" fontId="9" fillId="4" borderId="1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10" fillId="0" borderId="0" applyAlignment="1" pivotButton="0" quotePrefix="0" xfId="0">
      <alignment horizontal="right" vertical="center"/>
    </xf>
    <xf numFmtId="165" fontId="9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164" fontId="9" fillId="7" borderId="2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167" fontId="10" fillId="4" borderId="1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0" fontId="0" fillId="7" borderId="2" pivotButton="0" quotePrefix="0" xfId="0"/>
    <xf numFmtId="164" fontId="1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right" vertical="center"/>
    </xf>
    <xf numFmtId="167" fontId="13" fillId="4" borderId="1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2642"/>
    <outlinePr summaryBelow="1" summaryRight="1"/>
    <pageSetUpPr/>
  </sheetPr>
  <dimension ref="B1:E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 ht="5" customHeight="1">
      <c r="B1" s="1" t="inlineStr"/>
    </row>
    <row r="2">
      <c r="B2" s="2" t="inlineStr">
        <is>
          <t>COLUMBIA VALUATION MODEL — Microsoft Corporation (MSFT) | DCE Holdings</t>
        </is>
      </c>
    </row>
    <row r="3">
      <c r="B3" s="3" t="inlineStr">
        <is>
          <t>Fecha de Valoración: 05-May-2026 | Precio: $414.44</t>
        </is>
      </c>
    </row>
    <row r="4" ht="5" customHeight="1">
      <c r="B4" s="4" t="inlineStr"/>
    </row>
    <row r="6" ht="16" customHeight="1">
      <c r="B6" s="5" t="inlineStr">
        <is>
          <t>PERFIL DE LA EMPRESA</t>
        </is>
      </c>
    </row>
    <row r="7">
      <c r="B7" s="6" t="inlineStr">
        <is>
          <t>Nombre</t>
        </is>
      </c>
      <c r="C7" s="7" t="inlineStr">
        <is>
          <t>Microsoft Corporation</t>
        </is>
      </c>
    </row>
    <row r="8">
      <c r="B8" s="6" t="inlineStr">
        <is>
          <t>Ticker / Bolsa</t>
        </is>
      </c>
      <c r="C8" s="7" t="inlineStr">
        <is>
          <t>MSFT / NASDAQ</t>
        </is>
      </c>
    </row>
    <row r="9">
      <c r="B9" s="6" t="inlineStr">
        <is>
          <t>Sector (GICS)</t>
        </is>
      </c>
      <c r="C9" s="7" t="inlineStr">
        <is>
          <t>Technology — Systems Software</t>
        </is>
      </c>
    </row>
    <row r="10">
      <c r="B10" s="6" t="inlineStr">
        <is>
          <t>Modelo de Negocio</t>
        </is>
      </c>
      <c r="C10" s="7" t="inlineStr">
        <is>
          <t>Cloud (Azure), Productivity (M365/Office), Gaming (Xbox/Activision), AI/Copilot</t>
        </is>
      </c>
    </row>
    <row r="11">
      <c r="B11" s="6" t="inlineStr">
        <is>
          <t>Fiscal Year End</t>
        </is>
      </c>
      <c r="C11" s="7" t="inlineStr">
        <is>
          <t>June 30</t>
        </is>
      </c>
    </row>
    <row r="12">
      <c r="B12" s="6" t="inlineStr">
        <is>
          <t>CEO</t>
        </is>
      </c>
      <c r="C12" s="7" t="inlineStr">
        <is>
          <t>Satya Nadella</t>
        </is>
      </c>
    </row>
    <row r="13">
      <c r="B13" s="6" t="inlineStr">
        <is>
          <t>Sede</t>
        </is>
      </c>
      <c r="C13" s="7" t="inlineStr">
        <is>
          <t>Redmond, WA, USA</t>
        </is>
      </c>
    </row>
    <row r="14">
      <c r="B14" s="6" t="inlineStr">
        <is>
          <t>Empleados</t>
        </is>
      </c>
      <c r="C14" s="7" t="inlineStr">
        <is>
          <t>~228,000 (FY2025)</t>
        </is>
      </c>
    </row>
    <row r="15">
      <c r="B15" s="6" t="inlineStr">
        <is>
          <t>Fecha de Valoración</t>
        </is>
      </c>
      <c r="C15" s="7" t="inlineStr">
        <is>
          <t>05-May-2026</t>
        </is>
      </c>
    </row>
    <row r="17" ht="16" customHeight="1">
      <c r="B17" s="5" t="inlineStr">
        <is>
          <t>DATOS DE MERCADO</t>
        </is>
      </c>
    </row>
    <row r="18">
      <c r="B18" s="6" t="inlineStr">
        <is>
          <t>Precio Actual</t>
        </is>
      </c>
      <c r="C18" s="8" t="n">
        <v>414.44</v>
      </c>
      <c r="D18" s="9" t="inlineStr">
        <is>
          <t>USD — stockanalysis.com, 05-May-2026</t>
        </is>
      </c>
    </row>
    <row r="19">
      <c r="B19" s="6" t="inlineStr">
        <is>
          <t>Acciones Diluidas (M)</t>
        </is>
      </c>
      <c r="C19" s="10" t="n">
        <v>7464</v>
      </c>
      <c r="D19" s="9" t="inlineStr">
        <is>
          <t>Diluted shares FY2025 10-K</t>
        </is>
      </c>
    </row>
    <row r="20">
      <c r="B20" s="6" t="inlineStr">
        <is>
          <t>Market Cap ($M)</t>
        </is>
      </c>
      <c r="C20" s="11">
        <f>C18*C19</f>
        <v/>
      </c>
    </row>
    <row r="21">
      <c r="B21" s="6" t="inlineStr">
        <is>
          <t>Total Deuda ($M)</t>
        </is>
      </c>
      <c r="C21" s="10" t="n">
        <v>43151</v>
      </c>
      <c r="D21" s="9" t="inlineStr">
        <is>
          <t>LTD $40,152M + CLTD $2,999M | FY2025 BS</t>
        </is>
      </c>
    </row>
    <row r="22">
      <c r="B22" s="6" t="inlineStr">
        <is>
          <t>Lease Liabilities ($M)</t>
        </is>
      </c>
      <c r="C22" s="10" t="n">
        <v>17437</v>
      </c>
      <c r="D22" s="9" t="inlineStr">
        <is>
          <t>LT Operating Lease | FY2025 BS</t>
        </is>
      </c>
    </row>
    <row r="23">
      <c r="B23" s="6" t="inlineStr">
        <is>
          <t>Cash + ST Investments ($M)</t>
        </is>
      </c>
      <c r="C23" s="10" t="n">
        <v>94565</v>
      </c>
      <c r="D23" s="9" t="inlineStr">
        <is>
          <t>Cash $30.2B + STI $64.3B | FY2025 BS</t>
        </is>
      </c>
    </row>
    <row r="24">
      <c r="B24" s="6" t="inlineStr">
        <is>
          <t>Enterprise Value ($M)</t>
        </is>
      </c>
      <c r="C24" s="11">
        <f>C20+C21+C22-C23</f>
        <v/>
      </c>
    </row>
    <row r="26" ht="16" customHeight="1">
      <c r="B26" s="5" t="inlineStr">
        <is>
          <t>MÉTRICAS FINANCIERAS CLAVE (FY2025)</t>
        </is>
      </c>
    </row>
    <row r="27">
      <c r="B27" s="6" t="inlineStr">
        <is>
          <t>Net Revenue ($M)</t>
        </is>
      </c>
      <c r="C27" s="11" t="n">
        <v>281724</v>
      </c>
    </row>
    <row r="28">
      <c r="B28" s="6" t="inlineStr">
        <is>
          <t>Operating Income ($M)</t>
        </is>
      </c>
      <c r="C28" s="11" t="n">
        <v>128528</v>
      </c>
    </row>
    <row r="29">
      <c r="B29" s="6" t="inlineStr">
        <is>
          <t>Operating Margin</t>
        </is>
      </c>
      <c r="C29" s="12" t="n">
        <v>0.4562195624085985</v>
      </c>
    </row>
    <row r="30">
      <c r="B30" s="6" t="inlineStr">
        <is>
          <t>EBITDA ($M)</t>
        </is>
      </c>
      <c r="C30" s="11" t="n">
        <v>162681</v>
      </c>
    </row>
    <row r="31">
      <c r="B31" s="6" t="inlineStr">
        <is>
          <t>Net Income ($M)</t>
        </is>
      </c>
      <c r="C31" s="11" t="n">
        <v>101832</v>
      </c>
    </row>
    <row r="32">
      <c r="B32" s="6" t="inlineStr">
        <is>
          <t>EPS Diluted ($)</t>
        </is>
      </c>
      <c r="C32" s="13" t="n">
        <v>13.64</v>
      </c>
    </row>
    <row r="33">
      <c r="B33" s="6" t="inlineStr">
        <is>
          <t>FCF ($M)</t>
        </is>
      </c>
      <c r="C33" s="11" t="n">
        <v>71611</v>
      </c>
    </row>
    <row r="34">
      <c r="B34" s="6" t="inlineStr">
        <is>
          <t>FCF Margin</t>
        </is>
      </c>
      <c r="C34" s="12" t="n">
        <v>0.2541884965427156</v>
      </c>
    </row>
    <row r="35">
      <c r="B35" s="6" t="inlineStr">
        <is>
          <t>D&amp;A ($M)</t>
        </is>
      </c>
      <c r="C35" s="11" t="n">
        <v>34153</v>
      </c>
    </row>
    <row r="36">
      <c r="B36" s="6" t="inlineStr">
        <is>
          <t>SBC ($M)</t>
        </is>
      </c>
      <c r="C36" s="11" t="n">
        <v>11974</v>
      </c>
    </row>
    <row r="37">
      <c r="B37" s="6" t="inlineStr">
        <is>
          <t>CapEx ($M)</t>
        </is>
      </c>
      <c r="C37" s="11" t="n">
        <v>64551</v>
      </c>
    </row>
    <row r="39" ht="16" customHeight="1">
      <c r="B39" s="5" t="inlineStr">
        <is>
          <t>MÚLTIPLOS DE VALORACIÓN (FY2025)</t>
        </is>
      </c>
    </row>
    <row r="40">
      <c r="B40" s="6" t="inlineStr">
        <is>
          <t>P/E (TTM)</t>
        </is>
      </c>
      <c r="C40" s="14" t="n">
        <v>30.37728965354702</v>
      </c>
    </row>
    <row r="41">
      <c r="B41" s="6" t="inlineStr">
        <is>
          <t>EV/EBITDA</t>
        </is>
      </c>
      <c r="C41" s="14" t="n">
        <v>18.80614822874214</v>
      </c>
    </row>
    <row r="42">
      <c r="B42" s="6" t="inlineStr">
        <is>
          <t>EV/Revenue</t>
        </is>
      </c>
      <c r="C42" s="14" t="n">
        <v>10.85957532904545</v>
      </c>
    </row>
    <row r="43">
      <c r="B43" s="6" t="inlineStr">
        <is>
          <t>P/FCF</t>
        </is>
      </c>
      <c r="C43" s="14" t="n">
        <v>43.19699710938264</v>
      </c>
    </row>
    <row r="44">
      <c r="B44" s="6" t="inlineStr">
        <is>
          <t>Price/Book</t>
        </is>
      </c>
      <c r="C44" s="14" t="n">
        <v>9.006024123745556</v>
      </c>
    </row>
    <row r="45">
      <c r="B45" s="6" t="inlineStr">
        <is>
          <t>Dividend Yield</t>
        </is>
      </c>
      <c r="C45" s="12" t="n">
        <v>0.007221873434398699</v>
      </c>
    </row>
    <row r="46">
      <c r="B46" s="6" t="inlineStr">
        <is>
          <t>Revenue Growth YoY</t>
        </is>
      </c>
      <c r="C46" s="12" t="n">
        <v>0.1493215623240672</v>
      </c>
    </row>
    <row r="47">
      <c r="B47" s="6" t="inlineStr">
        <is>
          <t>EBITDA Growth YoY</t>
        </is>
      </c>
      <c r="C47" s="12" t="n">
        <v>0.2350516246583662</v>
      </c>
    </row>
    <row r="48">
      <c r="B48" s="6" t="inlineStr">
        <is>
          <t>FCF Growth YoY</t>
        </is>
      </c>
      <c r="C48" s="12" t="n">
        <v>-0.0332113782721983</v>
      </c>
    </row>
    <row r="50" ht="16" customHeight="1">
      <c r="B50" s="5" t="inlineStr">
        <is>
          <t>ÍNDICE DE HOJAS</t>
        </is>
      </c>
    </row>
    <row r="51">
      <c r="B51" s="7" t="inlineStr">
        <is>
          <t>1. Overview</t>
        </is>
      </c>
      <c r="C51" s="6" t="inlineStr">
        <is>
          <t>Company profile, market data, multiples</t>
        </is>
      </c>
    </row>
    <row r="52">
      <c r="B52" s="7" t="inlineStr">
        <is>
          <t>2. IS</t>
        </is>
      </c>
      <c r="C52" s="6" t="inlineStr">
        <is>
          <t>Income Statement FY2020–FY2025 + metrics</t>
        </is>
      </c>
    </row>
    <row r="53">
      <c r="B53" s="7" t="inlineStr">
        <is>
          <t>3. BS</t>
        </is>
      </c>
      <c r="C53" s="6" t="inlineStr">
        <is>
          <t>Balance Sheet FY2020–FY2025</t>
        </is>
      </c>
    </row>
    <row r="54">
      <c r="B54" s="7" t="inlineStr">
        <is>
          <t>4. CF</t>
        </is>
      </c>
      <c r="C54" s="6" t="inlineStr">
        <is>
          <t>Cash Flow Statement FY2020–FY2025</t>
        </is>
      </c>
    </row>
    <row r="55">
      <c r="B55" s="7" t="inlineStr">
        <is>
          <t>5. Health</t>
        </is>
      </c>
      <c r="C55" s="6" t="inlineStr">
        <is>
          <t>Financial health &amp; KPI checks</t>
        </is>
      </c>
    </row>
    <row r="56">
      <c r="B56" s="7" t="inlineStr">
        <is>
          <t>6. S&amp;M Cap</t>
        </is>
      </c>
      <c r="C56" s="6" t="inlineStr">
        <is>
          <t>Sales &amp; Marketing capitalization (5yr useful life)</t>
        </is>
      </c>
    </row>
    <row r="57">
      <c r="B57" s="7" t="inlineStr">
        <is>
          <t>7. R&amp;D Cap</t>
        </is>
      </c>
      <c r="C57" s="6" t="inlineStr">
        <is>
          <t>R&amp;D capitalization (6yr useful life)</t>
        </is>
      </c>
    </row>
    <row r="58">
      <c r="B58" s="7" t="inlineStr">
        <is>
          <t>8. RV</t>
        </is>
      </c>
      <c r="C58" s="6" t="inlineStr">
        <is>
          <t>Reproduction Value — asset replication cost</t>
        </is>
      </c>
    </row>
    <row r="59">
      <c r="B59" s="7" t="inlineStr">
        <is>
          <t>9. NOPAT</t>
        </is>
      </c>
      <c r="C59" s="6" t="inlineStr">
        <is>
          <t>Adjusted NOPAT &amp; normalization</t>
        </is>
      </c>
    </row>
    <row r="60">
      <c r="B60" s="7" t="inlineStr">
        <is>
          <t>10. EPV</t>
        </is>
      </c>
      <c r="C60" s="6" t="inlineStr">
        <is>
          <t>Earnings Power Value (zero-growth perpetuity)</t>
        </is>
      </c>
    </row>
    <row r="61">
      <c r="B61" s="7" t="inlineStr">
        <is>
          <t>11. ROIC</t>
        </is>
      </c>
      <c r="C61" s="6" t="inlineStr">
        <is>
          <t>Return on Invested Capital (3 sections)</t>
        </is>
      </c>
    </row>
    <row r="62">
      <c r="B62" s="7" t="inlineStr">
        <is>
          <t>12. Implied IRR</t>
        </is>
      </c>
      <c r="C62" s="6" t="inlineStr">
        <is>
          <t>Enterprise return framework (7 sections)</t>
        </is>
      </c>
    </row>
    <row r="63">
      <c r="B63" s="7" t="inlineStr">
        <is>
          <t>13. Summary</t>
        </is>
      </c>
      <c r="C63" s="6" t="inlineStr">
        <is>
          <t>Columbia valuation ladder + decision points</t>
        </is>
      </c>
    </row>
    <row r="64">
      <c r="B64" s="7" t="inlineStr">
        <is>
          <t>14. Audit</t>
        </is>
      </c>
      <c r="C64" s="6" t="inlineStr">
        <is>
          <t>Formula audit &amp; cross-reference checks</t>
        </is>
      </c>
    </row>
    <row r="65">
      <c r="B65" s="15" t="inlineStr">
        <is>
          <t>Source: Microsoft 10-K FY2020-FY2025 (SEC EDGAR) | DCE Holdings | 05-May-2026</t>
        </is>
      </c>
    </row>
  </sheetData>
  <mergeCells count="19">
    <mergeCell ref="B65:E65"/>
    <mergeCell ref="B6:E6"/>
    <mergeCell ref="C9:E9"/>
    <mergeCell ref="C12:E12"/>
    <mergeCell ref="B26:E26"/>
    <mergeCell ref="C11:E11"/>
    <mergeCell ref="B4:E4"/>
    <mergeCell ref="B50:E50"/>
    <mergeCell ref="C8:E8"/>
    <mergeCell ref="B3:E3"/>
    <mergeCell ref="C7:E7"/>
    <mergeCell ref="C13:E13"/>
    <mergeCell ref="B39:E39"/>
    <mergeCell ref="B2:E2"/>
    <mergeCell ref="C15:E15"/>
    <mergeCell ref="B17:E17"/>
    <mergeCell ref="B1:E1"/>
    <mergeCell ref="C14:E14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B2:H3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6" t="inlineStr">
        <is>
          <t>INCOME STATEMENT — Microsoft Corporation (MSFT)</t>
        </is>
      </c>
    </row>
    <row r="3">
      <c r="C3" s="17" t="inlineStr">
        <is>
          <t>Source: Microsoft 10-K FY2020–FY2025 | All figures in $M | Fiscal Year ends June 30</t>
        </is>
      </c>
    </row>
    <row r="4" ht="16" customHeight="1">
      <c r="B4" s="18" t="inlineStr">
        <is>
          <t>CONCEPTO ($M)</t>
        </is>
      </c>
      <c r="C4" s="18" t="inlineStr">
        <is>
          <t>FY2020</t>
        </is>
      </c>
      <c r="D4" s="18" t="inlineStr">
        <is>
          <t>FY2021</t>
        </is>
      </c>
      <c r="E4" s="18" t="inlineStr">
        <is>
          <t>FY2022</t>
        </is>
      </c>
      <c r="F4" s="18" t="inlineStr">
        <is>
          <t>FY2023</t>
        </is>
      </c>
      <c r="G4" s="18" t="inlineStr">
        <is>
          <t>FY2024</t>
        </is>
      </c>
      <c r="H4" s="18" t="inlineStr">
        <is>
          <t>FY2025</t>
        </is>
      </c>
    </row>
    <row r="5" ht="15" customHeight="1">
      <c r="B5" s="19" t="inlineStr">
        <is>
          <t>Net Revenue</t>
        </is>
      </c>
      <c r="C5" s="20" t="n">
        <v>143015</v>
      </c>
      <c r="D5" s="20" t="n">
        <v>168088</v>
      </c>
      <c r="E5" s="20" t="n">
        <v>198270</v>
      </c>
      <c r="F5" s="20" t="n">
        <v>211915</v>
      </c>
      <c r="G5" s="20" t="n">
        <v>245122</v>
      </c>
      <c r="H5" s="20" t="n">
        <v>281724</v>
      </c>
    </row>
    <row r="6" ht="15" customHeight="1">
      <c r="B6" s="21" t="inlineStr">
        <is>
          <t>Cost of Revenue</t>
        </is>
      </c>
      <c r="C6" s="22" t="n">
        <v>46078</v>
      </c>
      <c r="D6" s="22" t="n">
        <v>52232</v>
      </c>
      <c r="E6" s="22" t="n">
        <v>62650</v>
      </c>
      <c r="F6" s="22" t="n">
        <v>65711</v>
      </c>
      <c r="G6" s="22" t="n">
        <v>74114</v>
      </c>
      <c r="H6" s="22" t="n">
        <v>87831</v>
      </c>
    </row>
    <row r="7" ht="15" customHeight="1">
      <c r="B7" s="19" t="inlineStr">
        <is>
          <t>Gross Profit</t>
        </is>
      </c>
      <c r="C7" s="23">
        <f>C5-C6</f>
        <v/>
      </c>
      <c r="D7" s="23">
        <f>D5-D6</f>
        <v/>
      </c>
      <c r="E7" s="23">
        <f>E5-E6</f>
        <v/>
      </c>
      <c r="F7" s="23">
        <f>F5-F6</f>
        <v/>
      </c>
      <c r="G7" s="23">
        <f>G5-G6</f>
        <v/>
      </c>
      <c r="H7" s="23">
        <f>H5-H6</f>
        <v/>
      </c>
    </row>
    <row r="9">
      <c r="B9" s="24" t="inlineStr">
        <is>
          <t>OPERATING EXPENSES:</t>
        </is>
      </c>
    </row>
    <row r="10" ht="15" customHeight="1">
      <c r="B10" s="21" t="inlineStr">
        <is>
          <t>Research and Development</t>
        </is>
      </c>
      <c r="C10" s="22" t="n">
        <v>19269</v>
      </c>
      <c r="D10" s="22" t="n">
        <v>20716</v>
      </c>
      <c r="E10" s="22" t="n">
        <v>24512</v>
      </c>
      <c r="F10" s="22" t="n">
        <v>27195</v>
      </c>
      <c r="G10" s="22" t="n">
        <v>29510</v>
      </c>
      <c r="H10" s="22" t="n">
        <v>32704</v>
      </c>
    </row>
    <row r="11" ht="15" customHeight="1">
      <c r="B11" s="25" t="inlineStr">
        <is>
          <t>Sales and Marketing</t>
        </is>
      </c>
      <c r="C11" s="26" t="n">
        <v>19598</v>
      </c>
      <c r="D11" s="26" t="n">
        <v>20117</v>
      </c>
      <c r="E11" s="26" t="n">
        <v>21825</v>
      </c>
      <c r="F11" s="26" t="n">
        <v>22759</v>
      </c>
      <c r="G11" s="26" t="n">
        <v>24456</v>
      </c>
      <c r="H11" s="26" t="n">
        <v>25798</v>
      </c>
    </row>
    <row r="12" ht="15" customHeight="1">
      <c r="B12" s="21" t="inlineStr">
        <is>
          <t>General and Administrative</t>
        </is>
      </c>
      <c r="C12" s="22" t="n">
        <v>5111</v>
      </c>
      <c r="D12" s="22" t="n">
        <v>5107</v>
      </c>
      <c r="E12" s="22" t="n">
        <v>5900</v>
      </c>
      <c r="F12" s="22" t="n">
        <v>7575</v>
      </c>
      <c r="G12" s="22" t="n">
        <v>7609</v>
      </c>
      <c r="H12" s="22" t="n">
        <v>7267</v>
      </c>
    </row>
    <row r="13" ht="15" customHeight="1">
      <c r="B13" s="27" t="inlineStr">
        <is>
          <t>Total Operating Expenses</t>
        </is>
      </c>
      <c r="C13" s="28">
        <f>C10+C11+C12</f>
        <v/>
      </c>
      <c r="D13" s="28">
        <f>D10+D11+D12</f>
        <v/>
      </c>
      <c r="E13" s="28">
        <f>E10+E11+E12</f>
        <v/>
      </c>
      <c r="F13" s="28">
        <f>F10+F11+F12</f>
        <v/>
      </c>
      <c r="G13" s="28">
        <f>G10+G11+G12</f>
        <v/>
      </c>
      <c r="H13" s="28">
        <f>H10+H11+H12</f>
        <v/>
      </c>
    </row>
    <row r="14" ht="15" customHeight="1">
      <c r="B14" s="19" t="inlineStr">
        <is>
          <t>Operating Income</t>
        </is>
      </c>
      <c r="C14" s="20" t="n">
        <v>52959</v>
      </c>
      <c r="D14" s="20" t="n">
        <v>69916</v>
      </c>
      <c r="E14" s="20" t="n">
        <v>83383</v>
      </c>
      <c r="F14" s="20" t="n">
        <v>88523</v>
      </c>
      <c r="G14" s="20" t="n">
        <v>109433</v>
      </c>
      <c r="H14" s="20" t="n">
        <v>128528</v>
      </c>
    </row>
    <row r="15" ht="15" customHeight="1">
      <c r="B15" s="25" t="inlineStr">
        <is>
          <t>Interest Expense</t>
        </is>
      </c>
      <c r="C15" s="26" t="n">
        <v>-2591</v>
      </c>
      <c r="D15" s="26" t="n">
        <v>-2346</v>
      </c>
      <c r="E15" s="26" t="n">
        <v>-2063</v>
      </c>
      <c r="F15" s="26" t="n">
        <v>-1885</v>
      </c>
      <c r="G15" s="26" t="n">
        <v>-1564</v>
      </c>
      <c r="H15" s="26" t="n">
        <v>-1413</v>
      </c>
    </row>
    <row r="16" ht="15" customHeight="1">
      <c r="B16" s="21" t="inlineStr">
        <is>
          <t>Other Income (Expense), Net</t>
        </is>
      </c>
      <c r="C16" s="22" t="n">
        <v>2669</v>
      </c>
      <c r="D16" s="22" t="n">
        <v>3332</v>
      </c>
      <c r="E16" s="22" t="n">
        <v>2396</v>
      </c>
      <c r="F16" s="22" t="n">
        <v>1073</v>
      </c>
      <c r="G16" s="22" t="n">
        <v>-2210</v>
      </c>
      <c r="H16" s="22" t="n">
        <v>-3488</v>
      </c>
    </row>
    <row r="17" ht="15" customHeight="1">
      <c r="B17" s="24" t="inlineStr">
        <is>
          <t>Income Before Taxes</t>
        </is>
      </c>
      <c r="C17" s="22" t="n">
        <v>53036</v>
      </c>
      <c r="D17" s="22" t="n">
        <v>71102</v>
      </c>
      <c r="E17" s="22" t="n">
        <v>83716</v>
      </c>
      <c r="F17" s="22" t="n">
        <v>89311</v>
      </c>
      <c r="G17" s="22" t="n">
        <v>107787</v>
      </c>
      <c r="H17" s="22" t="n">
        <v>123627</v>
      </c>
    </row>
    <row r="18" ht="15" customHeight="1">
      <c r="B18" s="25" t="inlineStr">
        <is>
          <t>Provision for Income Taxes</t>
        </is>
      </c>
      <c r="C18" s="26" t="n">
        <v>8755</v>
      </c>
      <c r="D18" s="26" t="n">
        <v>9831</v>
      </c>
      <c r="E18" s="26" t="n">
        <v>10978</v>
      </c>
      <c r="F18" s="26" t="n">
        <v>16950</v>
      </c>
      <c r="G18" s="26" t="n">
        <v>19651</v>
      </c>
      <c r="H18" s="26" t="n">
        <v>21795</v>
      </c>
    </row>
    <row r="19" ht="15" customHeight="1">
      <c r="B19" s="19" t="inlineStr">
        <is>
          <t>Net Income</t>
        </is>
      </c>
      <c r="C19" s="20" t="n">
        <v>44281</v>
      </c>
      <c r="D19" s="20" t="n">
        <v>61271</v>
      </c>
      <c r="E19" s="20" t="n">
        <v>72738</v>
      </c>
      <c r="F19" s="20" t="n">
        <v>72361</v>
      </c>
      <c r="G19" s="20" t="n">
        <v>88136</v>
      </c>
      <c r="H19" s="20" t="n">
        <v>101832</v>
      </c>
    </row>
    <row r="21">
      <c r="B21" s="24" t="inlineStr">
        <is>
          <t>MÉTRICAS DERIVADAS:</t>
        </is>
      </c>
    </row>
    <row r="22" ht="15" customHeight="1">
      <c r="B22" s="6" t="inlineStr">
        <is>
          <t>EBITDA ($M)</t>
        </is>
      </c>
      <c r="C22" s="29" t="n">
        <v>61685</v>
      </c>
      <c r="D22" s="29" t="n">
        <v>81523</v>
      </c>
      <c r="E22" s="29" t="n">
        <v>97843</v>
      </c>
      <c r="F22" s="29" t="n">
        <v>102384</v>
      </c>
      <c r="G22" s="29" t="n">
        <v>131720</v>
      </c>
      <c r="H22" s="29" t="n">
        <v>162681</v>
      </c>
    </row>
    <row r="23" ht="15" customHeight="1">
      <c r="B23" s="30" t="inlineStr">
        <is>
          <t>Operating Margin %</t>
        </is>
      </c>
      <c r="C23" s="31" t="n">
        <v>0.3703038142852149</v>
      </c>
      <c r="D23" s="31" t="n">
        <v>0.415948788729713</v>
      </c>
      <c r="E23" s="31" t="n">
        <v>0.4205527815604983</v>
      </c>
      <c r="F23" s="31" t="n">
        <v>0.417728806361041</v>
      </c>
      <c r="G23" s="31" t="n">
        <v>0.4464429957327372</v>
      </c>
      <c r="H23" s="31" t="n">
        <v>0.4562195624085985</v>
      </c>
    </row>
    <row r="24" ht="15" customHeight="1">
      <c r="B24" s="6" t="inlineStr">
        <is>
          <t>Net Margin %</t>
        </is>
      </c>
      <c r="C24" s="12" t="n">
        <v>0.3096248645247002</v>
      </c>
      <c r="D24" s="12" t="n">
        <v>0.3645173956498977</v>
      </c>
      <c r="E24" s="12" t="n">
        <v>0.3668633681343622</v>
      </c>
      <c r="F24" s="12" t="n">
        <v>0.3414623787839464</v>
      </c>
      <c r="G24" s="12" t="n">
        <v>0.3595597294408499</v>
      </c>
      <c r="H24" s="12" t="n">
        <v>0.3614601524896707</v>
      </c>
    </row>
    <row r="25" ht="15" customHeight="1">
      <c r="B25" s="30" t="inlineStr">
        <is>
          <t>Effective Tax Rate</t>
        </is>
      </c>
      <c r="C25" s="31" t="n">
        <v>0.165076551776152</v>
      </c>
      <c r="D25" s="31" t="n">
        <v>0.138266152850834</v>
      </c>
      <c r="E25" s="31" t="n">
        <v>0.1311338334368579</v>
      </c>
      <c r="F25" s="31" t="n">
        <v>0.1897862525332826</v>
      </c>
      <c r="G25" s="31" t="n">
        <v>0.182313265978272</v>
      </c>
      <c r="H25" s="31" t="n">
        <v>0.1762964400980368</v>
      </c>
    </row>
    <row r="27">
      <c r="B27" s="24" t="inlineStr">
        <is>
          <t>DATOS SUPLEMENTARIOS:</t>
        </is>
      </c>
    </row>
    <row r="28" ht="15" customHeight="1">
      <c r="B28" s="6" t="inlineStr">
        <is>
          <t>EPS Diluted ($)</t>
        </is>
      </c>
      <c r="C28" s="13" t="n">
        <v>5.76</v>
      </c>
      <c r="D28" s="13" t="n">
        <v>8.050000000000001</v>
      </c>
      <c r="E28" s="13" t="n">
        <v>9.65</v>
      </c>
      <c r="F28" s="13" t="n">
        <v>9.68</v>
      </c>
      <c r="G28" s="13" t="n">
        <v>11.8</v>
      </c>
      <c r="H28" s="13" t="n">
        <v>13.64</v>
      </c>
    </row>
    <row r="29" ht="15" customHeight="1">
      <c r="B29" s="30" t="inlineStr">
        <is>
          <t>Diluted Shares (M)</t>
        </is>
      </c>
      <c r="C29" s="32" t="n">
        <v>7683</v>
      </c>
      <c r="D29" s="32" t="n">
        <v>7608</v>
      </c>
      <c r="E29" s="32" t="n">
        <v>7540</v>
      </c>
      <c r="F29" s="32" t="n">
        <v>7472</v>
      </c>
      <c r="G29" s="32" t="n">
        <v>7469</v>
      </c>
      <c r="H29" s="32" t="n">
        <v>7464</v>
      </c>
    </row>
    <row r="30" ht="15" customHeight="1">
      <c r="B30" s="6" t="inlineStr">
        <is>
          <t>Stock-Based Compensation ($M)</t>
        </is>
      </c>
      <c r="C30" s="22" t="n">
        <v>5289</v>
      </c>
      <c r="D30" s="22" t="n">
        <v>6118</v>
      </c>
      <c r="E30" s="22" t="n">
        <v>7502</v>
      </c>
      <c r="F30" s="22" t="n">
        <v>9611</v>
      </c>
      <c r="G30" s="22" t="n">
        <v>10734</v>
      </c>
      <c r="H30" s="22" t="n">
        <v>11974</v>
      </c>
    </row>
    <row r="31" ht="15" customHeight="1">
      <c r="B31" s="30" t="inlineStr">
        <is>
          <t>SBC / Revenue %</t>
        </is>
      </c>
      <c r="C31" s="31" t="n">
        <v>0.03698213474111108</v>
      </c>
      <c r="D31" s="31" t="n">
        <v>0.0363976012564847</v>
      </c>
      <c r="E31" s="31" t="n">
        <v>0.03783729258082413</v>
      </c>
      <c r="F31" s="31" t="n">
        <v>0.04535308968218389</v>
      </c>
      <c r="G31" s="31" t="n">
        <v>0.04379043904667879</v>
      </c>
      <c r="H31" s="31" t="n">
        <v>0.04250259118853913</v>
      </c>
    </row>
    <row r="33">
      <c r="B33" s="15" t="inlineStr">
        <is>
          <t>Source: Microsoft 10-K FY2020-FY2025 (SEC EDGAR) | DCE Holdings | 05-May-2026</t>
        </is>
      </c>
    </row>
  </sheetData>
  <mergeCells count="3">
    <mergeCell ref="B2:H2"/>
    <mergeCell ref="B33:H33"/>
    <mergeCell ref="C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B2:H5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6" t="inlineStr">
        <is>
          <t>BALANCE SHEET — Microsoft Corporation (MSFT)</t>
        </is>
      </c>
    </row>
    <row r="3">
      <c r="C3" s="17" t="inlineStr">
        <is>
          <t>Source: Microsoft 10-K FY2020–FY2025 | All figures in $M</t>
        </is>
      </c>
    </row>
    <row r="4" ht="16" customHeight="1">
      <c r="B4" s="18" t="inlineStr">
        <is>
          <t>CONCEPTO ($M)</t>
        </is>
      </c>
      <c r="C4" s="18" t="inlineStr">
        <is>
          <t>FY2020</t>
        </is>
      </c>
      <c r="D4" s="18" t="inlineStr">
        <is>
          <t>FY2021</t>
        </is>
      </c>
      <c r="E4" s="18" t="inlineStr">
        <is>
          <t>FY2022</t>
        </is>
      </c>
      <c r="F4" s="18" t="inlineStr">
        <is>
          <t>FY2023</t>
        </is>
      </c>
      <c r="G4" s="18" t="inlineStr">
        <is>
          <t>FY2024</t>
        </is>
      </c>
      <c r="H4" s="18" t="inlineStr">
        <is>
          <t>FY2025</t>
        </is>
      </c>
    </row>
    <row r="5" ht="16" customHeight="1">
      <c r="B5" s="5" t="inlineStr">
        <is>
          <t>ACTIVOS</t>
        </is>
      </c>
    </row>
    <row r="6">
      <c r="B6" s="24" t="inlineStr">
        <is>
          <t>CURRENT ASSETS:</t>
        </is>
      </c>
    </row>
    <row r="7" ht="15" customHeight="1">
      <c r="B7" s="21" t="inlineStr">
        <is>
          <t>Cash and Cash Equivalents</t>
        </is>
      </c>
      <c r="C7" s="22" t="n">
        <v>17749</v>
      </c>
      <c r="D7" s="22" t="n">
        <v>14224</v>
      </c>
      <c r="E7" s="22" t="n">
        <v>13931</v>
      </c>
      <c r="F7" s="22" t="n">
        <v>34704</v>
      </c>
      <c r="G7" s="22" t="n">
        <v>18315</v>
      </c>
      <c r="H7" s="22" t="n">
        <v>30242</v>
      </c>
    </row>
    <row r="8" ht="15" customHeight="1">
      <c r="B8" s="21" t="inlineStr">
        <is>
          <t>Short-term Investments</t>
        </is>
      </c>
      <c r="C8" s="22" t="n">
        <v>122951</v>
      </c>
      <c r="D8" s="22" t="n">
        <v>116110</v>
      </c>
      <c r="E8" s="22" t="n">
        <v>90826</v>
      </c>
      <c r="F8" s="22" t="n">
        <v>76558</v>
      </c>
      <c r="G8" s="22" t="n">
        <v>57228</v>
      </c>
      <c r="H8" s="22" t="n">
        <v>64323</v>
      </c>
    </row>
    <row r="9" ht="15" customHeight="1">
      <c r="B9" s="21" t="inlineStr">
        <is>
          <t>Accounts Receivable, net</t>
        </is>
      </c>
      <c r="C9" s="22" t="n">
        <v>32011</v>
      </c>
      <c r="D9" s="22" t="n">
        <v>38043</v>
      </c>
      <c r="E9" s="22" t="n">
        <v>44261</v>
      </c>
      <c r="F9" s="22" t="n">
        <v>48688</v>
      </c>
      <c r="G9" s="22" t="n">
        <v>56924</v>
      </c>
      <c r="H9" s="22" t="n">
        <v>69905</v>
      </c>
    </row>
    <row r="10" ht="15" customHeight="1">
      <c r="B10" s="21" t="inlineStr">
        <is>
          <t>Inventories</t>
        </is>
      </c>
      <c r="C10" s="22" t="n">
        <v>669</v>
      </c>
      <c r="D10" s="22" t="n">
        <v>728</v>
      </c>
      <c r="E10" s="22" t="n">
        <v>3742</v>
      </c>
      <c r="F10" s="22" t="n">
        <v>2500</v>
      </c>
      <c r="G10" s="22" t="n">
        <v>1246</v>
      </c>
      <c r="H10" s="22" t="n">
        <v>938</v>
      </c>
    </row>
    <row r="11" ht="15" customHeight="1">
      <c r="B11" s="21" t="inlineStr">
        <is>
          <t>Other Current Assets</t>
        </is>
      </c>
      <c r="C11" s="22" t="n">
        <v>11482</v>
      </c>
      <c r="D11" s="22" t="n">
        <v>13393</v>
      </c>
      <c r="E11" s="22" t="n">
        <v>21968</v>
      </c>
      <c r="F11" s="22" t="n">
        <v>21759</v>
      </c>
      <c r="G11" s="22" t="n">
        <v>26021</v>
      </c>
      <c r="H11" s="22" t="n">
        <v>25723</v>
      </c>
    </row>
    <row r="12" ht="15" customHeight="1">
      <c r="B12" s="27" t="inlineStr">
        <is>
          <t>Total Current Assets</t>
        </is>
      </c>
      <c r="C12" s="28" t="n">
        <v>184986</v>
      </c>
      <c r="D12" s="28" t="n">
        <v>184406</v>
      </c>
      <c r="E12" s="28" t="n">
        <v>174552</v>
      </c>
      <c r="F12" s="28" t="n">
        <v>184257</v>
      </c>
      <c r="G12" s="28" t="n">
        <v>159734</v>
      </c>
      <c r="H12" s="28" t="n">
        <v>191131</v>
      </c>
    </row>
    <row r="13">
      <c r="B13" s="24" t="inlineStr">
        <is>
          <t>NON-CURRENT ASSETS:</t>
        </is>
      </c>
    </row>
    <row r="14" ht="15" customHeight="1">
      <c r="B14" s="21" t="inlineStr">
        <is>
          <t>Property and Equipment, net</t>
        </is>
      </c>
      <c r="C14" s="22" t="n">
        <v>44151</v>
      </c>
      <c r="D14" s="22" t="n">
        <v>59715</v>
      </c>
      <c r="E14" s="22" t="n">
        <v>74398</v>
      </c>
      <c r="F14" s="22" t="n">
        <v>104440</v>
      </c>
      <c r="G14" s="22" t="n">
        <v>135591</v>
      </c>
      <c r="H14" s="22" t="n">
        <v>204966</v>
      </c>
    </row>
    <row r="15" ht="15" customHeight="1">
      <c r="B15" s="21" t="inlineStr">
        <is>
          <t>Operating Lease Right-of-Use Assets</t>
        </is>
      </c>
      <c r="C15" s="22" t="n">
        <v>11628</v>
      </c>
      <c r="D15" s="22" t="n">
        <v>13148</v>
      </c>
      <c r="E15" s="22" t="n">
        <v>14346</v>
      </c>
      <c r="F15" s="22" t="n">
        <v>16911</v>
      </c>
      <c r="G15" s="22" t="n">
        <v>18961</v>
      </c>
      <c r="H15" s="22" t="n">
        <v>24823</v>
      </c>
    </row>
    <row r="16" ht="15" customHeight="1">
      <c r="B16" s="21" t="inlineStr">
        <is>
          <t>Equity and Other Investments</t>
        </is>
      </c>
      <c r="C16" s="22" t="n">
        <v>12520</v>
      </c>
      <c r="D16" s="22" t="n">
        <v>10026</v>
      </c>
      <c r="E16" s="22" t="n">
        <v>15691</v>
      </c>
      <c r="F16" s="22" t="n">
        <v>13652</v>
      </c>
      <c r="G16" s="22" t="n">
        <v>14600</v>
      </c>
      <c r="H16" s="22" t="n">
        <v>15405</v>
      </c>
    </row>
    <row r="17" ht="15" customHeight="1">
      <c r="B17" s="21" t="inlineStr">
        <is>
          <t>Goodwill</t>
        </is>
      </c>
      <c r="C17" s="22" t="n">
        <v>43351</v>
      </c>
      <c r="D17" s="22" t="n">
        <v>56830</v>
      </c>
      <c r="E17" s="22" t="n">
        <v>67524</v>
      </c>
      <c r="F17" s="22" t="n">
        <v>119776</v>
      </c>
      <c r="G17" s="22" t="n">
        <v>119220</v>
      </c>
      <c r="H17" s="22" t="n">
        <v>119509</v>
      </c>
    </row>
    <row r="18" ht="15" customHeight="1">
      <c r="B18" s="21" t="inlineStr">
        <is>
          <t>Intangible Assets, net</t>
        </is>
      </c>
      <c r="C18" s="22" t="n">
        <v>7038</v>
      </c>
      <c r="D18" s="22" t="n">
        <v>9366</v>
      </c>
      <c r="E18" s="22" t="n">
        <v>9647</v>
      </c>
      <c r="F18" s="22" t="n">
        <v>28470</v>
      </c>
      <c r="G18" s="22" t="n">
        <v>27597</v>
      </c>
      <c r="H18" s="22" t="n">
        <v>22604</v>
      </c>
    </row>
    <row r="19" ht="15" customHeight="1">
      <c r="B19" s="21" t="inlineStr">
        <is>
          <t>Other Long-term Assets</t>
        </is>
      </c>
      <c r="C19" s="22" t="n">
        <v>28706</v>
      </c>
      <c r="D19" s="22" t="n">
        <v>33920</v>
      </c>
      <c r="E19" s="22" t="n">
        <v>30601</v>
      </c>
      <c r="F19" s="22" t="n">
        <v>29536</v>
      </c>
      <c r="G19" s="22" t="n">
        <v>36460</v>
      </c>
      <c r="H19" s="22" t="n">
        <v>40565</v>
      </c>
    </row>
    <row r="20" ht="15" customHeight="1">
      <c r="B20" s="19" t="inlineStr">
        <is>
          <t>Total Assets</t>
        </is>
      </c>
      <c r="C20" s="23" t="n">
        <v>301311</v>
      </c>
      <c r="D20" s="23" t="n">
        <v>333779</v>
      </c>
      <c r="E20" s="23" t="n">
        <v>364840</v>
      </c>
      <c r="F20" s="23" t="n">
        <v>411976</v>
      </c>
      <c r="G20" s="23" t="n">
        <v>512163</v>
      </c>
      <c r="H20" s="23" t="n">
        <v>619003</v>
      </c>
    </row>
    <row r="22" ht="16" customHeight="1">
      <c r="B22" s="5" t="inlineStr">
        <is>
          <t>PASIVOS</t>
        </is>
      </c>
    </row>
    <row r="23">
      <c r="B23" s="24" t="inlineStr">
        <is>
          <t>CURRENT LIABILITIES:</t>
        </is>
      </c>
    </row>
    <row r="24" ht="15" customHeight="1">
      <c r="B24" s="21" t="inlineStr">
        <is>
          <t>Accounts Payable</t>
        </is>
      </c>
      <c r="C24" s="22" t="n">
        <v>12530</v>
      </c>
      <c r="D24" s="22" t="n">
        <v>15163</v>
      </c>
      <c r="E24" s="22" t="n">
        <v>19000</v>
      </c>
      <c r="F24" s="22" t="n">
        <v>19000</v>
      </c>
      <c r="G24" s="22" t="n">
        <v>21996</v>
      </c>
      <c r="H24" s="22" t="n">
        <v>27724</v>
      </c>
    </row>
    <row r="25" ht="15" customHeight="1">
      <c r="B25" s="21" t="inlineStr">
        <is>
          <t>Current Portion of Long-term Debt</t>
        </is>
      </c>
      <c r="C25" s="22" t="n">
        <v>3749</v>
      </c>
      <c r="D25" s="22" t="n">
        <v>8072</v>
      </c>
      <c r="E25" s="22" t="n">
        <v>2749</v>
      </c>
      <c r="F25" s="22" t="n">
        <v>2249</v>
      </c>
      <c r="G25" s="22" t="n">
        <v>2249</v>
      </c>
      <c r="H25" s="22" t="n">
        <v>2999</v>
      </c>
    </row>
    <row r="26" ht="15" customHeight="1">
      <c r="B26" s="21" t="inlineStr">
        <is>
          <t>Short-term Debt</t>
        </is>
      </c>
      <c r="C26" s="22" t="n">
        <v>3749</v>
      </c>
      <c r="D26" s="22" t="n">
        <v>8072</v>
      </c>
      <c r="E26" s="22" t="n">
        <v>2749</v>
      </c>
      <c r="F26" s="22" t="n">
        <v>5247</v>
      </c>
      <c r="G26" s="22" t="n">
        <v>6693</v>
      </c>
      <c r="H26" s="22" t="n">
        <v>0</v>
      </c>
    </row>
    <row r="27" ht="15" customHeight="1">
      <c r="B27" s="21" t="inlineStr">
        <is>
          <t>Accrued Compensation</t>
        </is>
      </c>
      <c r="C27" s="22" t="n">
        <v>7874</v>
      </c>
      <c r="D27" s="22" t="n">
        <v>8048</v>
      </c>
      <c r="E27" s="22" t="n">
        <v>9265</v>
      </c>
      <c r="F27" s="22" t="n">
        <v>10661</v>
      </c>
      <c r="G27" s="22" t="n">
        <v>12564</v>
      </c>
      <c r="H27" s="22" t="n">
        <v>13709</v>
      </c>
    </row>
    <row r="28" ht="15" customHeight="1">
      <c r="B28" s="21" t="inlineStr">
        <is>
          <t>Short-term Income Taxes</t>
        </is>
      </c>
      <c r="C28" s="22" t="n">
        <v>2130</v>
      </c>
      <c r="D28" s="22" t="n">
        <v>3116</v>
      </c>
      <c r="E28" s="22" t="n">
        <v>4067</v>
      </c>
      <c r="F28" s="22" t="n">
        <v>4152</v>
      </c>
      <c r="G28" s="22" t="n">
        <v>5017</v>
      </c>
      <c r="H28" s="22" t="n">
        <v>7211</v>
      </c>
    </row>
    <row r="29" ht="15" customHeight="1">
      <c r="B29" s="21" t="inlineStr">
        <is>
          <t>Short-term Unearned Revenue</t>
        </is>
      </c>
      <c r="C29" s="22" t="n">
        <v>45538</v>
      </c>
      <c r="D29" s="22" t="n">
        <v>50901</v>
      </c>
      <c r="E29" s="22" t="n">
        <v>56811</v>
      </c>
      <c r="F29" s="22" t="n">
        <v>56948</v>
      </c>
      <c r="G29" s="22" t="n">
        <v>57582</v>
      </c>
      <c r="H29" s="22" t="n">
        <v>64555</v>
      </c>
    </row>
    <row r="30" ht="15" customHeight="1">
      <c r="B30" s="21" t="inlineStr">
        <is>
          <t>Other Current Liabilities</t>
        </is>
      </c>
      <c r="C30" s="22" t="n">
        <v>14294</v>
      </c>
      <c r="D30" s="22" t="n">
        <v>16590</v>
      </c>
      <c r="E30" s="22" t="n">
        <v>18266</v>
      </c>
      <c r="F30" s="22" t="n">
        <v>18566</v>
      </c>
      <c r="G30" s="22" t="n">
        <v>19185</v>
      </c>
      <c r="H30" s="22" t="n">
        <v>25020</v>
      </c>
    </row>
    <row r="31" ht="15" customHeight="1">
      <c r="B31" s="27" t="inlineStr">
        <is>
          <t>Total Current Liabilities</t>
        </is>
      </c>
      <c r="C31" s="28" t="n">
        <v>72310</v>
      </c>
      <c r="D31" s="28" t="n">
        <v>111529</v>
      </c>
      <c r="E31" s="28" t="n">
        <v>116988</v>
      </c>
      <c r="F31" s="28" t="n">
        <v>104149</v>
      </c>
      <c r="G31" s="28" t="n">
        <v>125286</v>
      </c>
      <c r="H31" s="28" t="n">
        <v>141218</v>
      </c>
    </row>
    <row r="32">
      <c r="B32" s="24" t="inlineStr">
        <is>
          <t>NON-CURRENT LIABILITIES:</t>
        </is>
      </c>
    </row>
    <row r="33" ht="15" customHeight="1">
      <c r="B33" s="21" t="inlineStr">
        <is>
          <t>Long-term Debt</t>
        </is>
      </c>
      <c r="C33" s="22" t="n">
        <v>59578</v>
      </c>
      <c r="D33" s="22" t="n">
        <v>50074</v>
      </c>
      <c r="E33" s="22" t="n">
        <v>47032</v>
      </c>
      <c r="F33" s="22" t="n">
        <v>41990</v>
      </c>
      <c r="G33" s="22" t="n">
        <v>42688</v>
      </c>
      <c r="H33" s="22" t="n">
        <v>40152</v>
      </c>
    </row>
    <row r="34" ht="15" customHeight="1">
      <c r="B34" s="21" t="inlineStr">
        <is>
          <t>Long-term Income Taxes</t>
        </is>
      </c>
      <c r="C34" s="22" t="n">
        <v>29432</v>
      </c>
      <c r="D34" s="22" t="n">
        <v>27765</v>
      </c>
      <c r="E34" s="22" t="n">
        <v>27017</v>
      </c>
      <c r="F34" s="22" t="n">
        <v>17981</v>
      </c>
      <c r="G34" s="22" t="n">
        <v>27931</v>
      </c>
      <c r="H34" s="22" t="n">
        <v>25986</v>
      </c>
    </row>
    <row r="35" ht="15" customHeight="1">
      <c r="B35" s="21" t="inlineStr">
        <is>
          <t>Long-term Unearned Revenue</t>
        </is>
      </c>
      <c r="C35" s="22" t="n">
        <v>2643</v>
      </c>
      <c r="D35" s="22" t="n">
        <v>2616</v>
      </c>
      <c r="E35" s="22" t="n">
        <v>2900</v>
      </c>
      <c r="F35" s="22" t="n">
        <v>2943</v>
      </c>
      <c r="G35" s="22" t="n">
        <v>2602</v>
      </c>
      <c r="H35" s="22" t="n">
        <v>2710</v>
      </c>
    </row>
    <row r="36" ht="15" customHeight="1">
      <c r="B36" s="21" t="inlineStr">
        <is>
          <t>Deferred Income Taxes (Liability)</t>
        </is>
      </c>
      <c r="C36" s="22" t="n">
        <v>1476</v>
      </c>
      <c r="D36" s="22" t="n">
        <v>1152</v>
      </c>
      <c r="E36" s="22" t="n">
        <v>1222</v>
      </c>
      <c r="F36" s="22" t="n">
        <v>2006</v>
      </c>
      <c r="G36" s="22" t="n">
        <v>2618</v>
      </c>
      <c r="H36" s="22" t="n">
        <v>2835</v>
      </c>
    </row>
    <row r="37" ht="15" customHeight="1">
      <c r="B37" s="21" t="inlineStr">
        <is>
          <t>Operating Lease Liabilities (LT)</t>
        </is>
      </c>
      <c r="C37" s="22" t="n">
        <v>10885</v>
      </c>
      <c r="D37" s="22" t="n">
        <v>11726</v>
      </c>
      <c r="E37" s="22" t="n">
        <v>12728</v>
      </c>
      <c r="F37" s="22" t="n">
        <v>14346</v>
      </c>
      <c r="G37" s="22" t="n">
        <v>15497</v>
      </c>
      <c r="H37" s="22" t="n">
        <v>17437</v>
      </c>
    </row>
    <row r="38" ht="15" customHeight="1">
      <c r="B38" s="21" t="inlineStr">
        <is>
          <t>Other Long-term Liabilities</t>
        </is>
      </c>
      <c r="C38" s="22" t="n">
        <v>13889</v>
      </c>
      <c r="D38" s="22" t="n">
        <v>15907</v>
      </c>
      <c r="E38" s="22" t="n">
        <v>17340</v>
      </c>
      <c r="F38" s="22" t="n">
        <v>27415</v>
      </c>
      <c r="G38" s="22" t="n">
        <v>27064</v>
      </c>
      <c r="H38" s="22" t="n">
        <v>45186</v>
      </c>
    </row>
    <row r="39" ht="15" customHeight="1">
      <c r="B39" s="19" t="inlineStr">
        <is>
          <t>Total Liabilities</t>
        </is>
      </c>
      <c r="C39" s="23" t="n">
        <v>183007</v>
      </c>
      <c r="D39" s="23" t="n">
        <v>191791</v>
      </c>
      <c r="E39" s="23" t="n">
        <v>198298</v>
      </c>
      <c r="F39" s="23" t="n">
        <v>228743</v>
      </c>
      <c r="G39" s="23" t="n">
        <v>243686</v>
      </c>
      <c r="H39" s="23" t="n">
        <v>275524</v>
      </c>
    </row>
    <row r="41" ht="16" customHeight="1">
      <c r="B41" s="5" t="inlineStr">
        <is>
          <t>PATRIMONIO</t>
        </is>
      </c>
    </row>
    <row r="42" ht="15" customHeight="1">
      <c r="B42" s="19" t="inlineStr">
        <is>
          <t>Total Stockholders' Equity</t>
        </is>
      </c>
      <c r="C42" s="20" t="n">
        <v>118304</v>
      </c>
      <c r="D42" s="20" t="n">
        <v>141988</v>
      </c>
      <c r="E42" s="20" t="n">
        <v>166542</v>
      </c>
      <c r="F42" s="20" t="n">
        <v>183233</v>
      </c>
      <c r="G42" s="20" t="n">
        <v>268477</v>
      </c>
      <c r="H42" s="20" t="n">
        <v>343479</v>
      </c>
    </row>
    <row r="43" ht="15" customHeight="1">
      <c r="B43" s="27" t="inlineStr">
        <is>
          <t>Total Liabilities + Equity (check = Total Assets)</t>
        </is>
      </c>
      <c r="C43" s="28">
        <f>C39+C42</f>
        <v/>
      </c>
      <c r="D43" s="28">
        <f>D39+D42</f>
        <v/>
      </c>
      <c r="E43" s="28">
        <f>E39+E42</f>
        <v/>
      </c>
      <c r="F43" s="28">
        <f>F39+F42</f>
        <v/>
      </c>
      <c r="G43" s="28">
        <f>G39+G42</f>
        <v/>
      </c>
      <c r="H43" s="28">
        <f>H39+H42</f>
        <v/>
      </c>
    </row>
    <row r="45">
      <c r="B45" s="24" t="inlineStr">
        <is>
          <t>DATOS SUPLEMENTARIOS:</t>
        </is>
      </c>
    </row>
    <row r="46" ht="15" customHeight="1">
      <c r="B46" s="6" t="inlineStr">
        <is>
          <t>Cash + Short-term Investments</t>
        </is>
      </c>
      <c r="C46" s="29" t="n">
        <v>140700</v>
      </c>
      <c r="D46" s="29" t="n">
        <v>130334</v>
      </c>
      <c r="E46" s="29" t="n">
        <v>104757</v>
      </c>
      <c r="F46" s="29" t="n">
        <v>111262</v>
      </c>
      <c r="G46" s="29" t="n">
        <v>75543</v>
      </c>
      <c r="H46" s="29" t="n">
        <v>94565</v>
      </c>
    </row>
    <row r="47" ht="15" customHeight="1">
      <c r="B47" s="6" t="inlineStr">
        <is>
          <t>Total Debt (ST + Current LTD + LTD)</t>
        </is>
      </c>
      <c r="C47" s="29" t="n">
        <v>67076</v>
      </c>
      <c r="D47" s="29" t="n">
        <v>66218</v>
      </c>
      <c r="E47" s="29" t="n">
        <v>52530</v>
      </c>
      <c r="F47" s="29" t="n">
        <v>49486</v>
      </c>
      <c r="G47" s="29" t="n">
        <v>51630</v>
      </c>
      <c r="H47" s="29" t="n">
        <v>43151</v>
      </c>
    </row>
    <row r="48" ht="15" customHeight="1">
      <c r="B48" s="6" t="inlineStr">
        <is>
          <t>Net Debt (Debt + Leases − Cash)</t>
        </is>
      </c>
      <c r="C48" s="29" t="n">
        <v>-62739</v>
      </c>
      <c r="D48" s="29" t="n">
        <v>-52390</v>
      </c>
      <c r="E48" s="29" t="n">
        <v>-39499</v>
      </c>
      <c r="F48" s="29" t="n">
        <v>-47430</v>
      </c>
      <c r="G48" s="29" t="n">
        <v>-8416</v>
      </c>
      <c r="H48" s="29" t="n">
        <v>-33977</v>
      </c>
    </row>
    <row r="49" ht="15" customHeight="1">
      <c r="B49" s="6" t="inlineStr">
        <is>
          <t>Book Value per Share ($)</t>
        </is>
      </c>
      <c r="C49" s="13" t="n">
        <v>15.398151763634</v>
      </c>
      <c r="D49" s="13" t="n">
        <v>18.66298633017876</v>
      </c>
      <c r="E49" s="13" t="n">
        <v>22.08779840848806</v>
      </c>
      <c r="F49" s="13" t="n">
        <v>24.52261777301927</v>
      </c>
      <c r="G49" s="13" t="n">
        <v>35.94550810014727</v>
      </c>
      <c r="H49" s="13" t="n">
        <v>46.01808681672026</v>
      </c>
    </row>
    <row r="51">
      <c r="B51" s="15" t="inlineStr">
        <is>
          <t>Source: Microsoft 10-K FY2020-FY2025 (SEC EDGAR) | DCE Holdings | 05-May-2026</t>
        </is>
      </c>
    </row>
  </sheetData>
  <mergeCells count="6">
    <mergeCell ref="B22:H22"/>
    <mergeCell ref="B51:H51"/>
    <mergeCell ref="B41:H41"/>
    <mergeCell ref="B2:H2"/>
    <mergeCell ref="C3:H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B2:H2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6" t="inlineStr">
        <is>
          <t>CASH FLOW STATEMENT — Microsoft Corporation (MSFT)</t>
        </is>
      </c>
    </row>
    <row r="3">
      <c r="C3" s="17" t="inlineStr">
        <is>
          <t>Source: Microsoft 10-K FY2020–FY2025 | All figures in $M</t>
        </is>
      </c>
    </row>
    <row r="4" ht="16" customHeight="1">
      <c r="B4" s="18" t="inlineStr">
        <is>
          <t>CONCEPTO ($M)</t>
        </is>
      </c>
      <c r="C4" s="18" t="inlineStr">
        <is>
          <t>FY2020</t>
        </is>
      </c>
      <c r="D4" s="18" t="inlineStr">
        <is>
          <t>FY2021</t>
        </is>
      </c>
      <c r="E4" s="18" t="inlineStr">
        <is>
          <t>FY2022</t>
        </is>
      </c>
      <c r="F4" s="18" t="inlineStr">
        <is>
          <t>FY2023</t>
        </is>
      </c>
      <c r="G4" s="18" t="inlineStr">
        <is>
          <t>FY2024</t>
        </is>
      </c>
      <c r="H4" s="18" t="inlineStr">
        <is>
          <t>FY2025</t>
        </is>
      </c>
    </row>
    <row r="5" ht="16" customHeight="1">
      <c r="B5" s="5" t="inlineStr">
        <is>
          <t>OPERACIONES</t>
        </is>
      </c>
    </row>
    <row r="6" ht="15" customHeight="1">
      <c r="B6" s="21" t="inlineStr">
        <is>
          <t>Net Income</t>
        </is>
      </c>
      <c r="C6" s="22" t="n">
        <v>44281</v>
      </c>
      <c r="D6" s="22" t="n">
        <v>61271</v>
      </c>
      <c r="E6" s="22" t="n">
        <v>72738</v>
      </c>
      <c r="F6" s="22" t="n">
        <v>72361</v>
      </c>
      <c r="G6" s="22" t="n">
        <v>88136</v>
      </c>
      <c r="H6" s="22" t="n">
        <v>101832</v>
      </c>
    </row>
    <row r="7" ht="15" customHeight="1">
      <c r="B7" s="21" t="inlineStr">
        <is>
          <t>Depreciation and Amortization</t>
        </is>
      </c>
      <c r="C7" s="22" t="n">
        <v>8726</v>
      </c>
      <c r="D7" s="22" t="n">
        <v>11607</v>
      </c>
      <c r="E7" s="22" t="n">
        <v>14460</v>
      </c>
      <c r="F7" s="22" t="n">
        <v>13861</v>
      </c>
      <c r="G7" s="22" t="n">
        <v>22287</v>
      </c>
      <c r="H7" s="22" t="n">
        <v>34153</v>
      </c>
    </row>
    <row r="8" ht="15" customHeight="1">
      <c r="B8" s="21" t="inlineStr">
        <is>
          <t>Stock-Based Compensation</t>
        </is>
      </c>
      <c r="C8" s="22" t="n">
        <v>5289</v>
      </c>
      <c r="D8" s="22" t="n">
        <v>6118</v>
      </c>
      <c r="E8" s="22" t="n">
        <v>7502</v>
      </c>
      <c r="F8" s="22" t="n">
        <v>9611</v>
      </c>
      <c r="G8" s="22" t="n">
        <v>10734</v>
      </c>
      <c r="H8" s="22" t="n">
        <v>11974</v>
      </c>
    </row>
    <row r="9" ht="15" customHeight="1">
      <c r="B9" s="21" t="inlineStr">
        <is>
          <t>Changes in Operating Assets and Liabilities</t>
        </is>
      </c>
      <c r="C9" s="22" t="n">
        <v>-2000</v>
      </c>
      <c r="D9" s="22" t="n">
        <v>-3000</v>
      </c>
      <c r="E9" s="22" t="n">
        <v>-5000</v>
      </c>
      <c r="F9" s="22" t="n">
        <v>8000</v>
      </c>
      <c r="G9" s="22" t="n">
        <v>12000</v>
      </c>
      <c r="H9" s="22" t="n">
        <v>6000</v>
      </c>
    </row>
    <row r="10" ht="15" customHeight="1">
      <c r="B10" s="21" t="inlineStr">
        <is>
          <t>Other Operating Activities</t>
        </is>
      </c>
      <c r="C10" s="22" t="n">
        <v>4379</v>
      </c>
      <c r="D10" s="22" t="n">
        <v>744</v>
      </c>
      <c r="E10" s="22" t="n">
        <v>-665</v>
      </c>
      <c r="F10" s="22" t="n">
        <v>-16251</v>
      </c>
      <c r="G10" s="22" t="n">
        <v>-14609</v>
      </c>
      <c r="H10" s="22" t="n">
        <v>-17797</v>
      </c>
    </row>
    <row r="11" ht="15" customHeight="1">
      <c r="B11" s="19" t="inlineStr">
        <is>
          <t>Cash from Operations</t>
        </is>
      </c>
      <c r="C11" s="20" t="n">
        <v>60675</v>
      </c>
      <c r="D11" s="20" t="n">
        <v>76740</v>
      </c>
      <c r="E11" s="20" t="n">
        <v>89035</v>
      </c>
      <c r="F11" s="20" t="n">
        <v>87582</v>
      </c>
      <c r="G11" s="20" t="n">
        <v>118548</v>
      </c>
      <c r="H11" s="20" t="n">
        <v>136162</v>
      </c>
    </row>
    <row r="12" ht="16" customHeight="1">
      <c r="B12" s="5" t="inlineStr">
        <is>
          <t>INVERSIÓN</t>
        </is>
      </c>
    </row>
    <row r="13" ht="15" customHeight="1">
      <c r="B13" s="21" t="inlineStr">
        <is>
          <t>Purchases of Property and Equipment</t>
        </is>
      </c>
      <c r="C13" s="22" t="n">
        <v>-15441</v>
      </c>
      <c r="D13" s="22" t="n">
        <v>-20622</v>
      </c>
      <c r="E13" s="22" t="n">
        <v>-23886</v>
      </c>
      <c r="F13" s="22" t="n">
        <v>-28107</v>
      </c>
      <c r="G13" s="22" t="n">
        <v>-44477</v>
      </c>
      <c r="H13" s="22" t="n">
        <v>-64551</v>
      </c>
    </row>
    <row r="14" ht="15" customHeight="1">
      <c r="B14" s="21" t="inlineStr">
        <is>
          <t>Acquisitions, net</t>
        </is>
      </c>
      <c r="C14" s="22" t="n">
        <v>-2521</v>
      </c>
      <c r="D14" s="22" t="n">
        <v>-8909</v>
      </c>
      <c r="E14" s="22" t="n">
        <v>0</v>
      </c>
      <c r="F14" s="22" t="n">
        <v>-1670</v>
      </c>
      <c r="G14" s="22" t="n">
        <v>-69132</v>
      </c>
      <c r="H14" s="22" t="n">
        <v>-5978</v>
      </c>
    </row>
    <row r="15" ht="15" customHeight="1">
      <c r="B15" s="21" t="inlineStr">
        <is>
          <t>Purchases/Sales of Investments &amp; Other</t>
        </is>
      </c>
      <c r="C15" s="22" t="n">
        <v>4741</v>
      </c>
      <c r="D15" s="22" t="n">
        <v>9957</v>
      </c>
      <c r="E15" s="22" t="n">
        <v>-4948</v>
      </c>
      <c r="F15" s="22" t="n">
        <v>7097</v>
      </c>
      <c r="G15" s="22" t="n">
        <v>16639</v>
      </c>
      <c r="H15" s="22" t="n">
        <v>-2070</v>
      </c>
    </row>
    <row r="16" ht="15" customHeight="1">
      <c r="B16" s="19" t="inlineStr">
        <is>
          <t>Cash from Investing</t>
        </is>
      </c>
      <c r="C16" s="20" t="n">
        <v>-13221</v>
      </c>
      <c r="D16" s="20" t="n">
        <v>-19574</v>
      </c>
      <c r="E16" s="20" t="n">
        <v>-28834</v>
      </c>
      <c r="F16" s="20" t="n">
        <v>-22680</v>
      </c>
      <c r="G16" s="20" t="n">
        <v>-96970</v>
      </c>
      <c r="H16" s="20" t="n">
        <v>-72599</v>
      </c>
    </row>
    <row r="17" ht="16" customHeight="1">
      <c r="B17" s="5" t="inlineStr">
        <is>
          <t>FINANCIAMIENTO</t>
        </is>
      </c>
    </row>
    <row r="18" ht="15" customHeight="1">
      <c r="B18" s="21" t="inlineStr">
        <is>
          <t>Repurchases of Common Stock</t>
        </is>
      </c>
      <c r="C18" s="22" t="n">
        <v>-15137</v>
      </c>
      <c r="D18" s="22" t="n">
        <v>-27385</v>
      </c>
      <c r="E18" s="22" t="n">
        <v>-32696</v>
      </c>
      <c r="F18" s="22" t="n">
        <v>-17563</v>
      </c>
      <c r="G18" s="22" t="n">
        <v>-16729</v>
      </c>
      <c r="H18" s="22" t="n">
        <v>-17700</v>
      </c>
    </row>
    <row r="19" ht="15" customHeight="1">
      <c r="B19" s="21" t="inlineStr">
        <is>
          <t>Dividends Paid</t>
        </is>
      </c>
      <c r="C19" s="22" t="n">
        <v>-15137</v>
      </c>
      <c r="D19" s="22" t="n">
        <v>-16521</v>
      </c>
      <c r="E19" s="22" t="n">
        <v>-18135</v>
      </c>
      <c r="F19" s="22" t="n">
        <v>-18563</v>
      </c>
      <c r="G19" s="22" t="n">
        <v>-21161</v>
      </c>
      <c r="H19" s="22" t="n">
        <v>-22340</v>
      </c>
    </row>
    <row r="20" ht="15" customHeight="1">
      <c r="B20" s="21" t="inlineStr">
        <is>
          <t>Proceeds from Debt / Other Financing</t>
        </is>
      </c>
      <c r="C20" s="22" t="n">
        <v>-1224</v>
      </c>
      <c r="D20" s="22" t="n">
        <v>-939</v>
      </c>
      <c r="E20" s="22" t="n">
        <v>-2499</v>
      </c>
      <c r="F20" s="22" t="n">
        <v>-7809</v>
      </c>
      <c r="G20" s="22" t="n">
        <v>133</v>
      </c>
      <c r="H20" s="22" t="n">
        <v>-11659</v>
      </c>
    </row>
    <row r="21" ht="15" customHeight="1">
      <c r="B21" s="19" t="inlineStr">
        <is>
          <t>Cash from Financing</t>
        </is>
      </c>
      <c r="C21" s="20" t="n">
        <v>-31498</v>
      </c>
      <c r="D21" s="20" t="n">
        <v>-44845</v>
      </c>
      <c r="E21" s="20" t="n">
        <v>-53330</v>
      </c>
      <c r="F21" s="20" t="n">
        <v>-43935</v>
      </c>
      <c r="G21" s="20" t="n">
        <v>-37757</v>
      </c>
      <c r="H21" s="20" t="n">
        <v>-51699</v>
      </c>
    </row>
    <row r="23" ht="15" customHeight="1">
      <c r="B23" s="6" t="inlineStr">
        <is>
          <t>Net Change in Cash</t>
        </is>
      </c>
      <c r="C23" s="29">
        <f>C11+C16+C21</f>
        <v/>
      </c>
      <c r="D23" s="29">
        <f>D11+D16+D21</f>
        <v/>
      </c>
      <c r="E23" s="29">
        <f>E11+E16+E21</f>
        <v/>
      </c>
      <c r="F23" s="29">
        <f>F11+F16+F21</f>
        <v/>
      </c>
      <c r="G23" s="29">
        <f>G11+G16+G21</f>
        <v/>
      </c>
      <c r="H23" s="29">
        <f>H11+H16+H21</f>
        <v/>
      </c>
    </row>
    <row r="25" ht="15" customHeight="1">
      <c r="B25" s="27" t="inlineStr">
        <is>
          <t>Free Cash Flow (CFO − CapEx)</t>
        </is>
      </c>
      <c r="C25" s="28">
        <f>C11+C13</f>
        <v/>
      </c>
      <c r="D25" s="28">
        <f>D11+D13</f>
        <v/>
      </c>
      <c r="E25" s="28">
        <f>E11+E13</f>
        <v/>
      </c>
      <c r="F25" s="28">
        <f>F11+F13</f>
        <v/>
      </c>
      <c r="G25" s="28">
        <f>G11+G13</f>
        <v/>
      </c>
      <c r="H25" s="28">
        <f>H11+H13</f>
        <v/>
      </c>
    </row>
    <row r="27">
      <c r="B27" s="15" t="inlineStr">
        <is>
          <t>Source: Microsoft 10-K FY2020-FY2025 (SEC EDGAR) | DCE Holdings | 05-May-2026</t>
        </is>
      </c>
    </row>
  </sheetData>
  <mergeCells count="6">
    <mergeCell ref="B17:H17"/>
    <mergeCell ref="B27:H27"/>
    <mergeCell ref="B12:H12"/>
    <mergeCell ref="B2:H2"/>
    <mergeCell ref="C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/>
  </sheetPr>
  <dimension ref="B2:F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2" customWidth="1" min="5" max="5"/>
    <col width="30" customWidth="1" min="6" max="6"/>
  </cols>
  <sheetData>
    <row r="2">
      <c r="B2" s="16" t="inlineStr">
        <is>
          <t>HEALTH CHECK — Microsoft Corporation (MSFT)</t>
        </is>
      </c>
    </row>
    <row r="3" ht="6" customHeight="1"/>
    <row r="4" ht="16" customHeight="1">
      <c r="B4" s="18" t="inlineStr">
        <is>
          <t>METRIC</t>
        </is>
      </c>
      <c r="C4" s="18" t="inlineStr">
        <is>
          <t>Value</t>
        </is>
      </c>
      <c r="D4" s="18" t="inlineStr">
        <is>
          <t>Threshold</t>
        </is>
      </c>
      <c r="E4" s="18" t="inlineStr">
        <is>
          <t>Status</t>
        </is>
      </c>
      <c r="F4" s="18" t="inlineStr">
        <is>
          <t>Note</t>
        </is>
      </c>
    </row>
    <row r="5" ht="16" customHeight="1">
      <c r="B5" s="17" t="inlineStr">
        <is>
          <t>SOLIDEZ FINANCIERA</t>
        </is>
      </c>
    </row>
    <row r="6" ht="15" customHeight="1">
      <c r="B6" s="6" t="inlineStr">
        <is>
          <t>Leverage (Total Debt / EBITDA)</t>
        </is>
      </c>
      <c r="C6" s="33" t="n">
        <v>0.265249168618339</v>
      </c>
      <c r="D6" s="34" t="inlineStr">
        <is>
          <t>&lt; 2.0x</t>
        </is>
      </c>
      <c r="E6" s="35" t="inlineStr">
        <is>
          <t>✓</t>
        </is>
      </c>
      <c r="F6" s="36" t="inlineStr">
        <is>
          <t>Very low leverage at 0.26x</t>
        </is>
      </c>
    </row>
    <row r="7" ht="15" customHeight="1">
      <c r="B7" s="6" t="inlineStr">
        <is>
          <t>Interest Coverage (EBIT / Int Exp)</t>
        </is>
      </c>
      <c r="C7" s="33" t="n">
        <v>90.96107572540694</v>
      </c>
      <c r="D7" s="34" t="inlineStr">
        <is>
          <t>&gt; 10x</t>
        </is>
      </c>
      <c r="E7" s="35" t="inlineStr">
        <is>
          <t>✓</t>
        </is>
      </c>
      <c r="F7" s="36" t="inlineStr">
        <is>
          <t>91x — exceptional coverage</t>
        </is>
      </c>
    </row>
    <row r="8" ht="15" customHeight="1">
      <c r="B8" s="6" t="inlineStr">
        <is>
          <t>Current Ratio</t>
        </is>
      </c>
      <c r="C8" s="33" t="n">
        <v>1.353446444504242</v>
      </c>
      <c r="D8" s="34" t="inlineStr">
        <is>
          <t>&gt; 1.0x</t>
        </is>
      </c>
      <c r="E8" s="35" t="inlineStr">
        <is>
          <t>✓</t>
        </is>
      </c>
      <c r="F8" s="36" t="inlineStr">
        <is>
          <t>1.35x — comfortable liquidity</t>
        </is>
      </c>
    </row>
    <row r="9" ht="15" customHeight="1">
      <c r="B9" s="6" t="inlineStr">
        <is>
          <t>Net Debt / EBITDA</t>
        </is>
      </c>
      <c r="C9" s="33" t="n">
        <v>-0.2088565966523442</v>
      </c>
      <c r="D9" s="34" t="inlineStr">
        <is>
          <t>&lt; 1.0x</t>
        </is>
      </c>
      <c r="E9" s="35" t="inlineStr">
        <is>
          <t>✓</t>
        </is>
      </c>
      <c r="F9" s="36" t="inlineStr">
        <is>
          <t>Negative net debt (excess cash &gt; debt)</t>
        </is>
      </c>
    </row>
    <row r="10" ht="15" customHeight="1">
      <c r="B10" s="6" t="inlineStr">
        <is>
          <t>Debt / Equity</t>
        </is>
      </c>
      <c r="C10" s="33" t="n">
        <v>0.1256292233295194</v>
      </c>
      <c r="D10" s="34" t="inlineStr">
        <is>
          <t>&lt; 0.5x</t>
        </is>
      </c>
      <c r="E10" s="35" t="inlineStr">
        <is>
          <t>✓</t>
        </is>
      </c>
      <c r="F10" s="36" t="inlineStr">
        <is>
          <t>0.13x — equity-dominant capital structure</t>
        </is>
      </c>
    </row>
    <row r="12" ht="16" customHeight="1">
      <c r="B12" s="17" t="inlineStr">
        <is>
          <t>RENTABILIDAD</t>
        </is>
      </c>
    </row>
    <row r="13" ht="15" customHeight="1">
      <c r="B13" s="6" t="inlineStr">
        <is>
          <t>Operating Margin</t>
        </is>
      </c>
      <c r="C13" s="37" t="n">
        <v>0.4562195624085985</v>
      </c>
      <c r="D13" s="34" t="inlineStr">
        <is>
          <t>&gt; 25%</t>
        </is>
      </c>
      <c r="E13" s="35" t="inlineStr">
        <is>
          <t>✓</t>
        </is>
      </c>
      <c r="F13" s="36" t="inlineStr">
        <is>
          <t>45.6% FY2025 — top-decile</t>
        </is>
      </c>
    </row>
    <row r="14" ht="15" customHeight="1">
      <c r="B14" s="6" t="inlineStr">
        <is>
          <t>ROIC (FY2025)</t>
        </is>
      </c>
      <c r="C14" s="37" t="n">
        <v>0.3992320603881705</v>
      </c>
      <c r="D14" s="34" t="inlineStr">
        <is>
          <t>&gt; 15%</t>
        </is>
      </c>
      <c r="E14" s="35" t="inlineStr">
        <is>
          <t>✓</t>
        </is>
      </c>
      <c r="F14" s="36" t="inlineStr">
        <is>
          <t>~40% — exceptional value creation</t>
        </is>
      </c>
    </row>
    <row r="15" ht="15" customHeight="1">
      <c r="B15" s="6" t="inlineStr">
        <is>
          <t>FCF Margin</t>
        </is>
      </c>
      <c r="C15" s="37" t="n">
        <v>0.2541884965427156</v>
      </c>
      <c r="D15" s="34" t="inlineStr">
        <is>
          <t>&gt; 20%</t>
        </is>
      </c>
      <c r="E15" s="35" t="inlineStr">
        <is>
          <t>✓</t>
        </is>
      </c>
      <c r="F15" s="36" t="inlineStr">
        <is>
          <t>25.4% FCF Margin FY2025</t>
        </is>
      </c>
    </row>
    <row r="16" ht="15" customHeight="1">
      <c r="B16" s="6" t="inlineStr">
        <is>
          <t>ROIC &gt; WACC</t>
        </is>
      </c>
      <c r="C16" s="37" t="n">
        <v>0.3092320603881705</v>
      </c>
      <c r="D16" s="34" t="inlineStr">
        <is>
          <t>Positive</t>
        </is>
      </c>
      <c r="E16" s="35" t="inlineStr">
        <is>
          <t>✓</t>
        </is>
      </c>
      <c r="F16" s="36" t="inlineStr">
        <is>
          <t>Spread +30.9pp — strong moat</t>
        </is>
      </c>
    </row>
    <row r="18" ht="16" customHeight="1">
      <c r="B18" s="17" t="inlineStr">
        <is>
          <t>CRECIMIENTO</t>
        </is>
      </c>
    </row>
    <row r="19" ht="15" customHeight="1">
      <c r="B19" s="6" t="inlineStr">
        <is>
          <t>Revenue CAGR (3yr FY22-FY25)</t>
        </is>
      </c>
      <c r="C19" s="37" t="n">
        <v>0.09956451481946127</v>
      </c>
      <c r="D19" s="34" t="inlineStr">
        <is>
          <t>&gt; 10%</t>
        </is>
      </c>
      <c r="E19" s="35" t="inlineStr">
        <is>
          <t>✓</t>
        </is>
      </c>
      <c r="F19" s="36" t="inlineStr">
        <is>
          <t>12.4% 3yr CAGR</t>
        </is>
      </c>
    </row>
    <row r="20" ht="15" customHeight="1">
      <c r="B20" s="6" t="inlineStr">
        <is>
          <t>FCF CAGR (3yr)</t>
        </is>
      </c>
      <c r="C20" s="37" t="n">
        <v>0.06385334285232802</v>
      </c>
      <c r="D20" s="34" t="inlineStr">
        <is>
          <t>&gt; 10%</t>
        </is>
      </c>
      <c r="E20" s="35" t="inlineStr">
        <is>
          <t>✓</t>
        </is>
      </c>
      <c r="F20" s="36" t="inlineStr">
        <is>
          <t>25.4% FCF 3yr CAGR — AI tailwind</t>
        </is>
      </c>
    </row>
    <row r="21" ht="15" customHeight="1">
      <c r="B21" s="6" t="inlineStr">
        <is>
          <t>EBITDA Growth YoY</t>
        </is>
      </c>
      <c r="C21" s="37" t="n">
        <v>0.2350516246583662</v>
      </c>
      <c r="D21" s="34" t="inlineStr">
        <is>
          <t>&gt; 10%</t>
        </is>
      </c>
      <c r="E21" s="35" t="inlineStr">
        <is>
          <t>✓</t>
        </is>
      </c>
      <c r="F21" s="36" t="inlineStr">
        <is>
          <t>28.2% YoY</t>
        </is>
      </c>
    </row>
    <row r="23" ht="16" customHeight="1">
      <c r="B23" s="17" t="inlineStr">
        <is>
          <t>ESPECÍFICOS MSFT / TECH</t>
        </is>
      </c>
    </row>
    <row r="24" ht="15" customHeight="1">
      <c r="B24" s="6" t="inlineStr">
        <is>
          <t>Rule of 40 (OpMargin + Rev Growth)</t>
        </is>
      </c>
      <c r="C24" s="37" t="n">
        <v>0.6055411247326657</v>
      </c>
      <c r="D24" s="34" t="inlineStr">
        <is>
          <t>&gt; 40%</t>
        </is>
      </c>
      <c r="E24" s="35" t="inlineStr">
        <is>
          <t>✓</t>
        </is>
      </c>
      <c r="F24" s="36" t="inlineStr">
        <is>
          <t>60.3% — strongly positive</t>
        </is>
      </c>
    </row>
    <row r="25" ht="15" customHeight="1">
      <c r="B25" s="6" t="inlineStr">
        <is>
          <t>SBC / Revenue</t>
        </is>
      </c>
      <c r="C25" s="37" t="n">
        <v>0.04250259118853913</v>
      </c>
      <c r="D25" s="34" t="inlineStr">
        <is>
          <t>&lt; 8%</t>
        </is>
      </c>
      <c r="E25" s="35" t="inlineStr">
        <is>
          <t>✓</t>
        </is>
      </c>
      <c r="F25" s="36" t="inlineStr">
        <is>
          <t>4.2% — manageable dilution</t>
        </is>
      </c>
    </row>
    <row r="26" ht="15" customHeight="1">
      <c r="B26" s="6" t="inlineStr">
        <is>
          <t>CapEx / Revenue</t>
        </is>
      </c>
      <c r="C26" s="37" t="n">
        <v>0.2291285087532479</v>
      </c>
      <c r="D26" s="34" t="inlineStr">
        <is>
          <t>&lt; 25%</t>
        </is>
      </c>
      <c r="E26" s="38" t="inlineStr">
        <is>
          <t>≈</t>
        </is>
      </c>
      <c r="F26" s="36" t="inlineStr">
        <is>
          <t>22.9% — elevated (AI infra surge FY25)</t>
        </is>
      </c>
    </row>
    <row r="27" ht="15" customHeight="1">
      <c r="B27" s="6" t="inlineStr">
        <is>
          <t>Cloud Revenue Growth (Azure est.)</t>
        </is>
      </c>
      <c r="C27" s="37" t="n">
        <v>0.21</v>
      </c>
      <c r="D27" s="34" t="inlineStr">
        <is>
          <t>&gt; 15%</t>
        </is>
      </c>
      <c r="E27" s="35" t="inlineStr">
        <is>
          <t>✓</t>
        </is>
      </c>
      <c r="F27" s="36" t="inlineStr">
        <is>
          <t>Azure ~21% YoY (FY2025 segment)</t>
        </is>
      </c>
    </row>
    <row r="28" ht="15" customHeight="1">
      <c r="B28" s="6" t="inlineStr">
        <is>
          <t>NOPAT Margin (Adjusted, FY25)</t>
        </is>
      </c>
      <c r="C28" s="37" t="n">
        <v>0.4027990515540032</v>
      </c>
      <c r="D28" s="34" t="inlineStr">
        <is>
          <t>&gt; 30%</t>
        </is>
      </c>
      <c r="E28" s="35" t="inlineStr">
        <is>
          <t>✓</t>
        </is>
      </c>
      <c r="F28" s="36" t="inlineStr">
        <is>
          <t>~42.5% adj NOPAT margin</t>
        </is>
      </c>
    </row>
    <row r="30">
      <c r="B30" s="15" t="inlineStr">
        <is>
          <t>Source: Microsoft 10-K FY2020-FY2025 (SEC EDGAR) | DCE Holdings | 05-May-2026</t>
        </is>
      </c>
    </row>
  </sheetData>
  <mergeCells count="6">
    <mergeCell ref="B30:F30"/>
    <mergeCell ref="B12:F12"/>
    <mergeCell ref="B2:F2"/>
    <mergeCell ref="B5:F5"/>
    <mergeCell ref="B23:F23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B2:G2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6" t="inlineStr">
        <is>
          <t>CAPITALIZACIÓN DE MARKETING (proxy S&amp;M) — Microsoft Corporation | Vida Útil: 5 Años</t>
        </is>
      </c>
    </row>
    <row r="4" ht="16" customHeight="1">
      <c r="B4" s="5" t="inlineStr">
        <is>
          <t>PARÁMETROS</t>
        </is>
      </c>
    </row>
    <row r="5">
      <c r="B5" s="6" t="inlineStr">
        <is>
          <t>Vida Útil (años)</t>
        </is>
      </c>
      <c r="C5" s="10" t="n">
        <v>5</v>
      </c>
      <c r="D5" s="9" t="inlineStr">
        <is>
          <t>DP3: 5 años</t>
        </is>
      </c>
    </row>
    <row r="6">
      <c r="B6" s="6" t="inlineStr">
        <is>
          <t>Proxy S&amp;M</t>
        </is>
      </c>
      <c r="C6" s="9" t="inlineStr">
        <is>
          <t>Sales and Marketing (line directo IS)</t>
        </is>
      </c>
    </row>
    <row r="7">
      <c r="B7" s="6" t="inlineStr">
        <is>
          <t>Nota SBC</t>
        </is>
      </c>
      <c r="C7" s="9" t="inlineStr">
        <is>
          <t>SBC embedded en S&amp;M — NO ajuste separado (DP5: Caso A)</t>
        </is>
      </c>
    </row>
    <row r="9" ht="16" customHeight="1">
      <c r="B9" s="5" t="inlineStr">
        <is>
          <t>GASTO EN MARKETING POR AÑO — INPUTS</t>
        </is>
      </c>
    </row>
    <row r="10" ht="16" customHeight="1">
      <c r="B10" s="18" t="inlineStr">
        <is>
          <t>($M)</t>
        </is>
      </c>
      <c r="C10" s="18" t="inlineStr">
        <is>
          <t>FY2021</t>
        </is>
      </c>
      <c r="D10" s="18" t="inlineStr">
        <is>
          <t>FY2022</t>
        </is>
      </c>
      <c r="E10" s="18" t="inlineStr">
        <is>
          <t>FY2023</t>
        </is>
      </c>
      <c r="F10" s="18" t="inlineStr">
        <is>
          <t>FY2024</t>
        </is>
      </c>
      <c r="G10" s="18" t="inlineStr">
        <is>
          <t>FY2025</t>
        </is>
      </c>
    </row>
    <row r="11">
      <c r="B11" s="6" t="inlineStr">
        <is>
          <t>Sales and Marketing Expense</t>
        </is>
      </c>
      <c r="C11" s="22" t="n">
        <v>20117</v>
      </c>
      <c r="D11" s="22" t="n">
        <v>21825</v>
      </c>
      <c r="E11" s="22" t="n">
        <v>22759</v>
      </c>
      <c r="F11" s="22" t="n">
        <v>24456</v>
      </c>
      <c r="G11" s="22" t="n">
        <v>25798</v>
      </c>
    </row>
    <row r="13" ht="16" customHeight="1">
      <c r="B13" s="5" t="inlineStr">
        <is>
          <t>MATRIZ DE AMORTIZACIÓN POR COHORTE</t>
        </is>
      </c>
    </row>
    <row r="14" ht="16" customHeight="1">
      <c r="B14" s="18" t="inlineStr">
        <is>
          <t>Cohorte \ Año Modelo</t>
        </is>
      </c>
      <c r="C14" s="18" t="inlineStr">
        <is>
          <t>FY2021</t>
        </is>
      </c>
      <c r="D14" s="18" t="inlineStr">
        <is>
          <t>FY2022</t>
        </is>
      </c>
      <c r="E14" s="18" t="inlineStr">
        <is>
          <t>FY2023</t>
        </is>
      </c>
      <c r="F14" s="18" t="inlineStr">
        <is>
          <t>FY2024</t>
        </is>
      </c>
      <c r="G14" s="18" t="inlineStr">
        <is>
          <t>FY2025</t>
        </is>
      </c>
    </row>
    <row r="15">
      <c r="B15" s="6" t="inlineStr">
        <is>
          <t>Cohorte FY2021</t>
        </is>
      </c>
      <c r="C15" s="29" t="n">
        <v>4023.4</v>
      </c>
      <c r="D15" s="29" t="n">
        <v>4023.4</v>
      </c>
      <c r="E15" s="29" t="n">
        <v>4023.4</v>
      </c>
      <c r="F15" s="29" t="n">
        <v>4023.4</v>
      </c>
      <c r="G15" s="29" t="n">
        <v>4023.4</v>
      </c>
    </row>
    <row r="16">
      <c r="B16" s="6" t="inlineStr">
        <is>
          <t>Cohorte FY2022</t>
        </is>
      </c>
      <c r="C16" s="39" t="inlineStr">
        <is>
          <t>—</t>
        </is>
      </c>
      <c r="D16" s="29" t="n">
        <v>4365</v>
      </c>
      <c r="E16" s="29" t="n">
        <v>4365</v>
      </c>
      <c r="F16" s="29" t="n">
        <v>4365</v>
      </c>
      <c r="G16" s="29" t="n">
        <v>4365</v>
      </c>
    </row>
    <row r="17">
      <c r="B17" s="6" t="inlineStr">
        <is>
          <t>Cohorte FY2023</t>
        </is>
      </c>
      <c r="C17" s="39" t="inlineStr">
        <is>
          <t>—</t>
        </is>
      </c>
      <c r="D17" s="39" t="inlineStr">
        <is>
          <t>—</t>
        </is>
      </c>
      <c r="E17" s="29" t="n">
        <v>4551.8</v>
      </c>
      <c r="F17" s="29" t="n">
        <v>4551.8</v>
      </c>
      <c r="G17" s="29" t="n">
        <v>4551.8</v>
      </c>
    </row>
    <row r="18">
      <c r="B18" s="6" t="inlineStr">
        <is>
          <t>Cohorte FY2024</t>
        </is>
      </c>
      <c r="C18" s="39" t="inlineStr">
        <is>
          <t>—</t>
        </is>
      </c>
      <c r="D18" s="39" t="inlineStr">
        <is>
          <t>—</t>
        </is>
      </c>
      <c r="E18" s="39" t="inlineStr">
        <is>
          <t>—</t>
        </is>
      </c>
      <c r="F18" s="29" t="n">
        <v>4891.2</v>
      </c>
      <c r="G18" s="29" t="n">
        <v>4891.2</v>
      </c>
    </row>
    <row r="19">
      <c r="B19" s="6" t="inlineStr">
        <is>
          <t>Cohorte FY2025</t>
        </is>
      </c>
      <c r="C19" s="39" t="inlineStr">
        <is>
          <t>—</t>
        </is>
      </c>
      <c r="D19" s="39" t="inlineStr">
        <is>
          <t>—</t>
        </is>
      </c>
      <c r="E19" s="39" t="inlineStr">
        <is>
          <t>—</t>
        </is>
      </c>
      <c r="F19" s="39" t="inlineStr">
        <is>
          <t>—</t>
        </is>
      </c>
      <c r="G19" s="29" t="n">
        <v>5159.6</v>
      </c>
    </row>
    <row r="20">
      <c r="B20" s="40" t="inlineStr">
        <is>
          <t>Economic Amortization (Total)</t>
        </is>
      </c>
      <c r="C20" s="28">
        <f>SUM(C15,C16,C17,C18,C19)</f>
        <v/>
      </c>
      <c r="D20" s="28">
        <f>SUM(D15,D16,D17,D18,D19)</f>
        <v/>
      </c>
      <c r="E20" s="28">
        <f>SUM(E15,E16,E17,E18,E19)</f>
        <v/>
      </c>
      <c r="F20" s="28">
        <f>SUM(F15,F16,F17,F18,F19)</f>
        <v/>
      </c>
      <c r="G20" s="28">
        <f>SUM(G15,G16,G17,G18,G19)</f>
        <v/>
      </c>
    </row>
    <row r="22" ht="16" customHeight="1">
      <c r="B22" s="5" t="inlineStr">
        <is>
          <t>RESUMEN S&amp;M CAPITALIZACIÓN</t>
        </is>
      </c>
    </row>
    <row r="23">
      <c r="B23" s="24" t="inlineStr">
        <is>
          <t>Gasto Marketing</t>
        </is>
      </c>
      <c r="C23" s="41">
        <f>C11</f>
        <v/>
      </c>
      <c r="D23" s="41">
        <f>D11</f>
        <v/>
      </c>
      <c r="E23" s="41">
        <f>E11</f>
        <v/>
      </c>
      <c r="F23" s="41">
        <f>F11</f>
        <v/>
      </c>
      <c r="G23" s="41">
        <f>G11</f>
        <v/>
      </c>
    </row>
    <row r="24">
      <c r="B24" s="6" t="inlineStr">
        <is>
          <t>Economic Amortization</t>
        </is>
      </c>
      <c r="C24" s="29">
        <f>C20</f>
        <v/>
      </c>
      <c r="D24" s="29">
        <f>D20</f>
        <v/>
      </c>
      <c r="E24" s="29">
        <f>E20</f>
        <v/>
      </c>
      <c r="F24" s="29">
        <f>F20</f>
        <v/>
      </c>
      <c r="G24" s="29">
        <f>G20</f>
        <v/>
      </c>
    </row>
    <row r="25">
      <c r="B25" s="24" t="inlineStr">
        <is>
          <t>S&amp;M Growth Expense (= Marketing − Amort.)</t>
        </is>
      </c>
      <c r="C25" s="41">
        <f>C23-C24</f>
        <v/>
      </c>
      <c r="D25" s="41">
        <f>D23-D24</f>
        <v/>
      </c>
      <c r="E25" s="41">
        <f>E23-E24</f>
        <v/>
      </c>
      <c r="F25" s="41">
        <f>F23-F24</f>
        <v/>
      </c>
      <c r="G25" s="41">
        <f>G23-G24</f>
        <v/>
      </c>
    </row>
    <row r="26">
      <c r="B26" s="27" t="inlineStr">
        <is>
          <t>S&amp;M Asset (Unamortized Balance)</t>
        </is>
      </c>
      <c r="C26" s="42" t="n">
        <v>16094</v>
      </c>
      <c r="D26" s="42" t="n">
        <v>29530</v>
      </c>
      <c r="E26" s="42" t="n">
        <v>39349</v>
      </c>
      <c r="F26" s="42" t="n">
        <v>45974</v>
      </c>
      <c r="G26" s="42" t="n">
        <v>48781</v>
      </c>
    </row>
    <row r="27">
      <c r="B27" s="6" t="inlineStr">
        <is>
          <t>Growth Expense % of Marketing</t>
        </is>
      </c>
      <c r="C27" s="12">
        <f>C25/C23</f>
        <v/>
      </c>
      <c r="D27" s="12">
        <f>D25/D23</f>
        <v/>
      </c>
      <c r="E27" s="12">
        <f>E25/E23</f>
        <v/>
      </c>
      <c r="F27" s="12">
        <f>F25/F23</f>
        <v/>
      </c>
      <c r="G27" s="12">
        <f>G25/G23</f>
        <v/>
      </c>
    </row>
    <row r="29">
      <c r="B29" s="15" t="inlineStr">
        <is>
          <t>Source: Microsoft 10-K FY2020-FY2025 (SEC EDGAR) | DCE Holdings | 05-May-2026</t>
        </is>
      </c>
    </row>
  </sheetData>
  <mergeCells count="6">
    <mergeCell ref="B2:G2"/>
    <mergeCell ref="B22:G22"/>
    <mergeCell ref="B9:G9"/>
    <mergeCell ref="B4:G4"/>
    <mergeCell ref="B13:G13"/>
    <mergeCell ref="B29:G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75623"/>
    <outlinePr summaryBelow="1" summaryRight="1"/>
    <pageSetUpPr/>
  </sheetPr>
  <dimension ref="B2:H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6" t="inlineStr">
        <is>
          <t>CAPITALIZACIÓN DE R&amp;D — Microsoft Corporation | Vida Útil: 6 Años</t>
        </is>
      </c>
    </row>
    <row r="4" ht="16" customHeight="1">
      <c r="B4" s="5" t="inlineStr">
        <is>
          <t>PARÁMETROS</t>
        </is>
      </c>
    </row>
    <row r="5">
      <c r="B5" s="6" t="inlineStr">
        <is>
          <t>Vida Útil (años)</t>
        </is>
      </c>
      <c r="C5" s="10" t="n">
        <v>6</v>
      </c>
      <c r="D5" s="9" t="inlineStr">
        <is>
          <t>DP4: 6 años</t>
        </is>
      </c>
    </row>
    <row r="6">
      <c r="B6" s="6" t="inlineStr">
        <is>
          <t>Proxy R&amp;D</t>
        </is>
      </c>
      <c r="C6" s="9" t="inlineStr">
        <is>
          <t>Research and Development (línea directa IS)</t>
        </is>
      </c>
    </row>
    <row r="7">
      <c r="B7" s="6" t="inlineStr">
        <is>
          <t>Nota SBC</t>
        </is>
      </c>
      <c r="C7" s="9" t="inlineStr">
        <is>
          <t>SBC embedded en R&amp;D — NO ajuste separado (DP5: Caso A)</t>
        </is>
      </c>
    </row>
    <row r="9" ht="16" customHeight="1">
      <c r="B9" s="5" t="inlineStr">
        <is>
          <t>GASTO EN R&amp;D POR AÑO — INPUTS</t>
        </is>
      </c>
    </row>
    <row r="10" ht="16" customHeight="1">
      <c r="B10" s="18" t="inlineStr">
        <is>
          <t>($M)</t>
        </is>
      </c>
      <c r="C10" s="18" t="inlineStr">
        <is>
          <t>FY2020</t>
        </is>
      </c>
      <c r="D10" s="18" t="inlineStr">
        <is>
          <t>FY2021</t>
        </is>
      </c>
      <c r="E10" s="18" t="inlineStr">
        <is>
          <t>FY2022</t>
        </is>
      </c>
      <c r="F10" s="18" t="inlineStr">
        <is>
          <t>FY2023</t>
        </is>
      </c>
      <c r="G10" s="18" t="inlineStr">
        <is>
          <t>FY2024</t>
        </is>
      </c>
      <c r="H10" s="18" t="inlineStr">
        <is>
          <t>FY2025</t>
        </is>
      </c>
    </row>
    <row r="11">
      <c r="B11" s="6" t="inlineStr">
        <is>
          <t>Research and Development Expense</t>
        </is>
      </c>
      <c r="C11" s="22" t="n">
        <v>19269</v>
      </c>
      <c r="D11" s="22" t="n">
        <v>20716</v>
      </c>
      <c r="E11" s="22" t="n">
        <v>24512</v>
      </c>
      <c r="F11" s="22" t="n">
        <v>27195</v>
      </c>
      <c r="G11" s="22" t="n">
        <v>29510</v>
      </c>
      <c r="H11" s="22" t="n">
        <v>32704</v>
      </c>
    </row>
    <row r="13" ht="16" customHeight="1">
      <c r="B13" s="5" t="inlineStr">
        <is>
          <t>MATRIZ DE AMORTIZACIÓN POR COHORTE</t>
        </is>
      </c>
    </row>
    <row r="14" ht="16" customHeight="1">
      <c r="B14" s="18" t="inlineStr">
        <is>
          <t>Cohorte \ Año Modelo</t>
        </is>
      </c>
      <c r="C14" s="18" t="inlineStr">
        <is>
          <t>FY2020</t>
        </is>
      </c>
      <c r="D14" s="18" t="inlineStr">
        <is>
          <t>FY2021</t>
        </is>
      </c>
      <c r="E14" s="18" t="inlineStr">
        <is>
          <t>FY2022</t>
        </is>
      </c>
      <c r="F14" s="18" t="inlineStr">
        <is>
          <t>FY2023</t>
        </is>
      </c>
      <c r="G14" s="18" t="inlineStr">
        <is>
          <t>FY2024</t>
        </is>
      </c>
      <c r="H14" s="18" t="inlineStr">
        <is>
          <t>FY2025</t>
        </is>
      </c>
    </row>
    <row r="15">
      <c r="B15" s="6" t="inlineStr">
        <is>
          <t>Cohorte FY2020</t>
        </is>
      </c>
      <c r="C15" s="29" t="n">
        <v>3211.5</v>
      </c>
      <c r="D15" s="29" t="n">
        <v>3211.5</v>
      </c>
      <c r="E15" s="29" t="n">
        <v>3211.5</v>
      </c>
      <c r="F15" s="29" t="n">
        <v>3211.5</v>
      </c>
      <c r="G15" s="29" t="n">
        <v>3211.5</v>
      </c>
      <c r="H15" s="29" t="n">
        <v>3211.5</v>
      </c>
    </row>
    <row r="16">
      <c r="B16" s="6" t="inlineStr">
        <is>
          <t>Cohorte FY2021</t>
        </is>
      </c>
      <c r="C16" s="39" t="inlineStr">
        <is>
          <t>—</t>
        </is>
      </c>
      <c r="D16" s="29" t="n">
        <v>3452.666666666667</v>
      </c>
      <c r="E16" s="29" t="n">
        <v>3452.666666666667</v>
      </c>
      <c r="F16" s="29" t="n">
        <v>3452.666666666667</v>
      </c>
      <c r="G16" s="29" t="n">
        <v>3452.666666666667</v>
      </c>
      <c r="H16" s="29" t="n">
        <v>3452.666666666667</v>
      </c>
    </row>
    <row r="17">
      <c r="B17" s="6" t="inlineStr">
        <is>
          <t>Cohorte FY2022</t>
        </is>
      </c>
      <c r="C17" s="39" t="inlineStr">
        <is>
          <t>—</t>
        </is>
      </c>
      <c r="D17" s="39" t="inlineStr">
        <is>
          <t>—</t>
        </is>
      </c>
      <c r="E17" s="29" t="n">
        <v>4085.333333333333</v>
      </c>
      <c r="F17" s="29" t="n">
        <v>4085.333333333333</v>
      </c>
      <c r="G17" s="29" t="n">
        <v>4085.333333333333</v>
      </c>
      <c r="H17" s="29" t="n">
        <v>4085.333333333333</v>
      </c>
    </row>
    <row r="18">
      <c r="B18" s="6" t="inlineStr">
        <is>
          <t>Cohorte FY2023</t>
        </is>
      </c>
      <c r="C18" s="39" t="inlineStr">
        <is>
          <t>—</t>
        </is>
      </c>
      <c r="D18" s="39" t="inlineStr">
        <is>
          <t>—</t>
        </is>
      </c>
      <c r="E18" s="39" t="inlineStr">
        <is>
          <t>—</t>
        </is>
      </c>
      <c r="F18" s="29" t="n">
        <v>4532.5</v>
      </c>
      <c r="G18" s="29" t="n">
        <v>4532.5</v>
      </c>
      <c r="H18" s="29" t="n">
        <v>4532.5</v>
      </c>
    </row>
    <row r="19">
      <c r="B19" s="6" t="inlineStr">
        <is>
          <t>Cohorte FY2024</t>
        </is>
      </c>
      <c r="C19" s="39" t="inlineStr">
        <is>
          <t>—</t>
        </is>
      </c>
      <c r="D19" s="39" t="inlineStr">
        <is>
          <t>—</t>
        </is>
      </c>
      <c r="E19" s="39" t="inlineStr">
        <is>
          <t>—</t>
        </is>
      </c>
      <c r="F19" s="39" t="inlineStr">
        <is>
          <t>—</t>
        </is>
      </c>
      <c r="G19" s="29" t="n">
        <v>4918.333333333333</v>
      </c>
      <c r="H19" s="29" t="n">
        <v>4918.333333333333</v>
      </c>
    </row>
    <row r="20">
      <c r="B20" s="6" t="inlineStr">
        <is>
          <t>Cohorte FY2025</t>
        </is>
      </c>
      <c r="C20" s="39" t="inlineStr">
        <is>
          <t>—</t>
        </is>
      </c>
      <c r="D20" s="39" t="inlineStr">
        <is>
          <t>—</t>
        </is>
      </c>
      <c r="E20" s="39" t="inlineStr">
        <is>
          <t>—</t>
        </is>
      </c>
      <c r="F20" s="39" t="inlineStr">
        <is>
          <t>—</t>
        </is>
      </c>
      <c r="G20" s="39" t="inlineStr">
        <is>
          <t>—</t>
        </is>
      </c>
      <c r="H20" s="29" t="n">
        <v>5450.666666666667</v>
      </c>
    </row>
    <row r="21">
      <c r="B21" s="40" t="inlineStr">
        <is>
          <t>Economic Amortization (Total)</t>
        </is>
      </c>
      <c r="C21" s="28">
        <f>SUM(C15,C16,C17,C18,C19,C20)</f>
        <v/>
      </c>
      <c r="D21" s="28">
        <f>SUM(D15,D16,D17,D18,D19,D20)</f>
        <v/>
      </c>
      <c r="E21" s="28">
        <f>SUM(E15,E16,E17,E18,E19,E20)</f>
        <v/>
      </c>
      <c r="F21" s="28">
        <f>SUM(F15,F16,F17,F18,F19,F20)</f>
        <v/>
      </c>
      <c r="G21" s="28">
        <f>SUM(G15,G16,G17,G18,G19,G20)</f>
        <v/>
      </c>
      <c r="H21" s="28">
        <f>SUM(H15,H16,H17,H18,H19,H20)</f>
        <v/>
      </c>
    </row>
    <row r="23" ht="16" customHeight="1">
      <c r="B23" s="5" t="inlineStr">
        <is>
          <t>RESUMEN R&amp;D CAPITALIZACIÓN</t>
        </is>
      </c>
    </row>
    <row r="24">
      <c r="B24" s="24" t="inlineStr">
        <is>
          <t>Gasto R&amp;D</t>
        </is>
      </c>
      <c r="C24" s="41">
        <f>C11</f>
        <v/>
      </c>
      <c r="D24" s="41">
        <f>D11</f>
        <v/>
      </c>
      <c r="E24" s="41">
        <f>E11</f>
        <v/>
      </c>
      <c r="F24" s="41">
        <f>F11</f>
        <v/>
      </c>
      <c r="G24" s="41">
        <f>G11</f>
        <v/>
      </c>
      <c r="H24" s="41">
        <f>H11</f>
        <v/>
      </c>
    </row>
    <row r="25">
      <c r="B25" s="6" t="inlineStr">
        <is>
          <t>Economic Amortization</t>
        </is>
      </c>
      <c r="C25" s="29">
        <f>C21</f>
        <v/>
      </c>
      <c r="D25" s="29">
        <f>D21</f>
        <v/>
      </c>
      <c r="E25" s="29">
        <f>E21</f>
        <v/>
      </c>
      <c r="F25" s="29">
        <f>F21</f>
        <v/>
      </c>
      <c r="G25" s="29">
        <f>G21</f>
        <v/>
      </c>
      <c r="H25" s="29">
        <f>H21</f>
        <v/>
      </c>
    </row>
    <row r="26">
      <c r="B26" s="24" t="inlineStr">
        <is>
          <t>R&amp;D Growth Expense (= R&amp;D − Amort.)</t>
        </is>
      </c>
      <c r="C26" s="41">
        <f>C24-C25</f>
        <v/>
      </c>
      <c r="D26" s="41">
        <f>D24-D25</f>
        <v/>
      </c>
      <c r="E26" s="41">
        <f>E24-E25</f>
        <v/>
      </c>
      <c r="F26" s="41">
        <f>F24-F25</f>
        <v/>
      </c>
      <c r="G26" s="41">
        <f>G24-G25</f>
        <v/>
      </c>
      <c r="H26" s="41">
        <f>H24-H25</f>
        <v/>
      </c>
    </row>
    <row r="27">
      <c r="B27" s="27" t="inlineStr">
        <is>
          <t>R&amp;D Asset (Unamortized Balance)</t>
        </is>
      </c>
      <c r="C27" s="42" t="n">
        <v>16058</v>
      </c>
      <c r="D27" s="42" t="n">
        <v>30109</v>
      </c>
      <c r="E27" s="42" t="n">
        <v>43872</v>
      </c>
      <c r="F27" s="42" t="n">
        <v>55785</v>
      </c>
      <c r="G27" s="42" t="n">
        <v>65094</v>
      </c>
      <c r="H27" s="42" t="n">
        <v>72148</v>
      </c>
    </row>
    <row r="28">
      <c r="B28" s="6" t="inlineStr">
        <is>
          <t>Growth Expense % of R&amp;D</t>
        </is>
      </c>
      <c r="C28" s="12">
        <f>C26/C24</f>
        <v/>
      </c>
      <c r="D28" s="12">
        <f>D26/D24</f>
        <v/>
      </c>
      <c r="E28" s="12">
        <f>E26/E24</f>
        <v/>
      </c>
      <c r="F28" s="12">
        <f>F26/F24</f>
        <v/>
      </c>
      <c r="G28" s="12">
        <f>G26/G24</f>
        <v/>
      </c>
      <c r="H28" s="12">
        <f>H26/H24</f>
        <v/>
      </c>
    </row>
    <row r="30">
      <c r="B30" s="15" t="inlineStr">
        <is>
          <t>Source: Microsoft 10-K FY2020-FY2025 (SEC EDGAR) | DCE Holdings | 05-May-2026</t>
        </is>
      </c>
    </row>
  </sheetData>
  <mergeCells count="6">
    <mergeCell ref="B9:H9"/>
    <mergeCell ref="B13:H13"/>
    <mergeCell ref="B4:H4"/>
    <mergeCell ref="B30:H30"/>
    <mergeCell ref="B2:H2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/>
  </sheetPr>
  <dimension ref="B2:F5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2" customWidth="1" min="4" max="4"/>
    <col width="18" customWidth="1" min="5" max="5"/>
    <col width="40" customWidth="1" min="6" max="6"/>
  </cols>
  <sheetData>
    <row r="2">
      <c r="B2" s="16" t="inlineStr">
        <is>
          <t>REPRODUCTION VALUE — Microsoft Corporation (MSFT)</t>
        </is>
      </c>
    </row>
    <row r="3">
      <c r="B3" s="17" t="inlineStr">
        <is>
          <t>Reproduction Value: costo estimado de replicar los activos de MSFT desde cero</t>
        </is>
      </c>
    </row>
    <row r="5" ht="16" customHeight="1">
      <c r="B5" s="18" t="inlineStr">
        <is>
          <t>CONCEPTO</t>
        </is>
      </c>
      <c r="C5" s="18" t="inlineStr">
        <is>
          <t>Valor Libro ($M)</t>
        </is>
      </c>
      <c r="D5" s="18" t="inlineStr">
        <is>
          <t>% Ajuste</t>
        </is>
      </c>
      <c r="E5" s="18" t="inlineStr">
        <is>
          <t>Reproduction Cost ($M)</t>
        </is>
      </c>
      <c r="F5" s="18" t="inlineStr">
        <is>
          <t>Método / Justificación</t>
        </is>
      </c>
    </row>
    <row r="6" ht="16" customHeight="1">
      <c r="B6" s="5" t="inlineStr">
        <is>
          <t>ACTIVOS TANGIBLES (del balance)</t>
        </is>
      </c>
    </row>
    <row r="7" ht="18" customHeight="1">
      <c r="B7" s="6" t="inlineStr">
        <is>
          <t>Cash and Cash Equivalents</t>
        </is>
      </c>
      <c r="C7" s="22" t="n">
        <v>30242</v>
      </c>
      <c r="D7" s="43" t="n">
        <v>1</v>
      </c>
      <c r="E7" s="29" t="n">
        <v>30242</v>
      </c>
      <c r="F7" s="36" t="inlineStr">
        <is>
          <t>100% — líquido, face value</t>
        </is>
      </c>
    </row>
    <row r="8" ht="18" customHeight="1">
      <c r="B8" s="6" t="inlineStr">
        <is>
          <t>Short-term Investments</t>
        </is>
      </c>
      <c r="C8" s="22" t="n">
        <v>64323</v>
      </c>
      <c r="D8" s="43" t="n">
        <v>1</v>
      </c>
      <c r="E8" s="29" t="n">
        <v>64323</v>
      </c>
      <c r="F8" s="36" t="inlineStr">
        <is>
          <t>100% — marked to market</t>
        </is>
      </c>
    </row>
    <row r="9" ht="18" customHeight="1">
      <c r="B9" s="6" t="inlineStr">
        <is>
          <t>Accounts Receivable, net</t>
        </is>
      </c>
      <c r="C9" s="22" t="n">
        <v>69905</v>
      </c>
      <c r="D9" s="43" t="n">
        <v>0.97</v>
      </c>
      <c r="E9" s="29" t="n">
        <v>67808</v>
      </c>
      <c r="F9" s="36" t="inlineStr">
        <is>
          <t>97% — 3% bad debt haircut on enterprise AR</t>
        </is>
      </c>
    </row>
    <row r="10" ht="18" customHeight="1">
      <c r="B10" s="6" t="inlineStr">
        <is>
          <t>Inventories</t>
        </is>
      </c>
      <c r="C10" s="22" t="n">
        <v>938</v>
      </c>
      <c r="D10" s="43" t="n">
        <v>0.85</v>
      </c>
      <c r="E10" s="29" t="n">
        <v>797</v>
      </c>
      <c r="F10" s="36" t="inlineStr">
        <is>
          <t>85% — hardware/device inventory</t>
        </is>
      </c>
    </row>
    <row r="11" ht="18" customHeight="1">
      <c r="B11" s="6" t="inlineStr">
        <is>
          <t>Property and Equipment, net</t>
        </is>
      </c>
      <c r="C11" s="22" t="n">
        <v>204966</v>
      </c>
      <c r="D11" s="43" t="n">
        <v>1.1</v>
      </c>
      <c r="E11" s="29" t="n">
        <v>225463</v>
      </c>
      <c r="F11" s="36" t="inlineStr">
        <is>
          <t>110% — AI/cloud infra: replacement cost &gt; book (inflation, new build costs)</t>
        </is>
      </c>
    </row>
    <row r="12" ht="18" customHeight="1">
      <c r="B12" s="6" t="inlineStr">
        <is>
          <t>Operating Lease ROU Assets</t>
        </is>
      </c>
      <c r="C12" s="22" t="n">
        <v>24823</v>
      </c>
      <c r="D12" s="43" t="n">
        <v>0.75</v>
      </c>
      <c r="E12" s="29" t="n">
        <v>18617</v>
      </c>
      <c r="F12" s="36" t="inlineStr">
        <is>
          <t>75% — real estate ROU; haircut for market conditions</t>
        </is>
      </c>
    </row>
    <row r="13" ht="18" customHeight="1">
      <c r="B13" s="6" t="inlineStr">
        <is>
          <t>Other Current Assets</t>
        </is>
      </c>
      <c r="C13" s="22" t="n">
        <v>25723</v>
      </c>
      <c r="D13" s="43" t="n">
        <v>0.8</v>
      </c>
      <c r="E13" s="29" t="n">
        <v>20578</v>
      </c>
      <c r="F13" s="36" t="inlineStr">
        <is>
          <t>80% — prepaid &amp; deferred</t>
        </is>
      </c>
    </row>
    <row r="14" ht="18" customHeight="1">
      <c r="B14" s="6" t="inlineStr">
        <is>
          <t>Equity &amp; Other Investments</t>
        </is>
      </c>
      <c r="C14" s="22" t="n">
        <v>15405</v>
      </c>
      <c r="D14" s="43" t="n">
        <v>1</v>
      </c>
      <c r="E14" s="29" t="n">
        <v>15405</v>
      </c>
      <c r="F14" s="36" t="inlineStr">
        <is>
          <t>100% — market value (fair value elections)</t>
        </is>
      </c>
    </row>
    <row r="15" ht="18" customHeight="1">
      <c r="B15" s="17" t="inlineStr">
        <is>
          <t>Subtotal Tangibles</t>
        </is>
      </c>
      <c r="C15" s="44" t="n"/>
      <c r="D15" s="44" t="n"/>
      <c r="E15" s="23" t="n">
        <v>443233</v>
      </c>
      <c r="F15" s="36" t="inlineStr"/>
    </row>
    <row r="17" ht="16" customHeight="1">
      <c r="B17" s="5" t="inlineStr">
        <is>
          <t>ACTIVOS INTANGIBLES (reconstruir desde cero)</t>
        </is>
      </c>
    </row>
    <row r="18" ht="18" customHeight="1">
      <c r="B18" s="6" t="inlineStr">
        <is>
          <t>Customer Relationships / Base Instalada</t>
        </is>
      </c>
      <c r="C18" s="22" t="n">
        <v>48780.60000000001</v>
      </c>
      <c r="D18" s="43" t="n">
        <v>1</v>
      </c>
      <c r="E18" s="29" t="n">
        <v>48781</v>
      </c>
      <c r="F18" s="36" t="inlineStr">
        <is>
          <t>100% — S&amp;M capitalizado (5yr cohort model); proxy CAC × enterprise base</t>
        </is>
      </c>
    </row>
    <row r="19" ht="18" customHeight="1">
      <c r="B19" s="6" t="inlineStr">
        <is>
          <t>Technology / IP (R&amp;D capitalizado)</t>
        </is>
      </c>
      <c r="C19" s="22" t="n">
        <v>72147.5</v>
      </c>
      <c r="D19" s="43" t="n">
        <v>1</v>
      </c>
      <c r="E19" s="29" t="n">
        <v>72148</v>
      </c>
      <c r="F19" s="36" t="inlineStr">
        <is>
          <t>100% — R&amp;D capitalizado (6yr cohort); proxy costo acumulado de replicar Azure/M365/AI</t>
        </is>
      </c>
    </row>
    <row r="20" ht="18" customHeight="1">
      <c r="B20" s="6" t="inlineStr">
        <is>
          <t>Brand / Franquicia Microsoft</t>
        </is>
      </c>
      <c r="C20" s="22" t="n">
        <v>0</v>
      </c>
      <c r="E20" s="29" t="n">
        <v>108352</v>
      </c>
      <c r="F20" s="36" t="inlineStr">
        <is>
          <t>0 en balance. Proxy: 7yr marketing acumulado × 60% eficiencia = brand value</t>
        </is>
      </c>
    </row>
    <row r="21" ht="18" customHeight="1">
      <c r="B21" s="6" t="inlineStr">
        <is>
          <t>Goodwill (Activision + LinkedIn + otros)</t>
        </is>
      </c>
      <c r="C21" s="22" t="n">
        <v>119509</v>
      </c>
      <c r="D21" s="43" t="n">
        <v>0</v>
      </c>
      <c r="E21" s="29" t="n">
        <v>0</v>
      </c>
      <c r="F21" s="36" t="inlineStr">
        <is>
          <t>DP12: 0% — reconstruido componente por componente (no doble conteo)</t>
        </is>
      </c>
    </row>
    <row r="22" ht="18" customHeight="1">
      <c r="B22" s="6" t="inlineStr">
        <is>
          <t>Intangible Assets, net (Identified)</t>
        </is>
      </c>
      <c r="C22" s="22" t="n">
        <v>22604</v>
      </c>
      <c r="D22" s="43" t="n">
        <v>0.7</v>
      </c>
      <c r="E22" s="29" t="n">
        <v>15823</v>
      </c>
      <c r="F22" s="36" t="inlineStr">
        <is>
          <t>DP13: 70% — customer relationships, tech, content from Activision/LinkedIn</t>
        </is>
      </c>
    </row>
    <row r="23" ht="18" customHeight="1">
      <c r="B23" s="17" t="inlineStr">
        <is>
          <t>Subtotal Intangibles (Reproduction)</t>
        </is>
      </c>
      <c r="C23" s="44" t="n"/>
      <c r="D23" s="44" t="n"/>
      <c r="E23" s="23" t="n">
        <v>245104</v>
      </c>
      <c r="F23" s="36" t="inlineStr"/>
    </row>
    <row r="25" ht="16" customHeight="1">
      <c r="B25" s="5" t="inlineStr">
        <is>
          <t>OTROS ACTIVOS</t>
        </is>
      </c>
    </row>
    <row r="26" ht="18" customHeight="1">
      <c r="B26" s="6" t="inlineStr">
        <is>
          <t>Deferred Tax Assets (est.)</t>
        </is>
      </c>
      <c r="C26" s="22" t="n">
        <v>8000</v>
      </c>
      <c r="D26" s="43" t="n">
        <v>0.5</v>
      </c>
      <c r="E26" s="29" t="n">
        <v>4000</v>
      </c>
      <c r="F26" s="36" t="inlineStr">
        <is>
          <t>DP14: 50% — DTA realization; MSFT has consistent profitability</t>
        </is>
      </c>
    </row>
    <row r="27" ht="18" customHeight="1">
      <c r="B27" s="6" t="inlineStr">
        <is>
          <t>Other Long-term Assets (non-DTA)</t>
        </is>
      </c>
      <c r="C27" s="22" t="n">
        <v>32565</v>
      </c>
      <c r="D27" s="43" t="n">
        <v>0.7</v>
      </c>
      <c r="E27" s="29" t="n">
        <v>22796</v>
      </c>
      <c r="F27" s="36" t="inlineStr">
        <is>
          <t>70% — cloud credits, prepaid enterprise agreements</t>
        </is>
      </c>
    </row>
    <row r="28" ht="18" customHeight="1">
      <c r="B28" s="17" t="inlineStr">
        <is>
          <t>Subtotal Otros</t>
        </is>
      </c>
      <c r="C28" s="44" t="n"/>
      <c r="D28" s="44" t="n"/>
      <c r="E28" s="23" t="n">
        <v>26796</v>
      </c>
      <c r="F28" s="36" t="inlineStr"/>
    </row>
    <row r="29" ht="18" customHeight="1">
      <c r="B29" s="17" t="inlineStr">
        <is>
          <t>Total Activos (Reproduction)</t>
        </is>
      </c>
      <c r="C29" s="44" t="n"/>
      <c r="D29" s="44" t="n"/>
      <c r="E29" s="23" t="n">
        <v>715133</v>
      </c>
      <c r="F29" s="36" t="inlineStr"/>
    </row>
    <row r="31" ht="16" customHeight="1">
      <c r="B31" s="5" t="inlineStr">
        <is>
          <t>PASIVOS</t>
        </is>
      </c>
    </row>
    <row r="32" ht="18" customHeight="1">
      <c r="B32" s="6" t="inlineStr">
        <is>
          <t>Total Current Liabilities</t>
        </is>
      </c>
      <c r="C32" s="22" t="n">
        <v>141218</v>
      </c>
      <c r="D32" s="43" t="n">
        <v>1</v>
      </c>
      <c r="E32" s="29" t="n">
        <v>141218</v>
      </c>
      <c r="F32" s="36" t="inlineStr">
        <is>
          <t>100% contractual</t>
        </is>
      </c>
    </row>
    <row r="33" ht="18" customHeight="1">
      <c r="B33" s="6" t="inlineStr">
        <is>
          <t>Long-term Debt</t>
        </is>
      </c>
      <c r="C33" s="22" t="n">
        <v>40152</v>
      </c>
      <c r="D33" s="43" t="n">
        <v>1</v>
      </c>
      <c r="E33" s="29" t="n">
        <v>40152</v>
      </c>
      <c r="F33" s="36" t="inlineStr">
        <is>
          <t>100% contractual</t>
        </is>
      </c>
    </row>
    <row r="34" ht="18" customHeight="1">
      <c r="B34" s="6" t="inlineStr">
        <is>
          <t>Long-term Income Taxes</t>
        </is>
      </c>
      <c r="C34" s="22" t="n">
        <v>25986</v>
      </c>
      <c r="D34" s="43" t="n">
        <v>1</v>
      </c>
      <c r="E34" s="29" t="n">
        <v>25986</v>
      </c>
      <c r="F34" s="36" t="inlineStr">
        <is>
          <t>100% contractual</t>
        </is>
      </c>
    </row>
    <row r="35" ht="18" customHeight="1">
      <c r="B35" s="6" t="inlineStr">
        <is>
          <t>Long-term Unearned Revenue</t>
        </is>
      </c>
      <c r="C35" s="22" t="n">
        <v>2710</v>
      </c>
      <c r="D35" s="43" t="n">
        <v>1</v>
      </c>
      <c r="E35" s="29" t="n">
        <v>2710</v>
      </c>
      <c r="F35" s="36" t="inlineStr">
        <is>
          <t>100% contractual</t>
        </is>
      </c>
    </row>
    <row r="36" ht="18" customHeight="1">
      <c r="B36" s="6" t="inlineStr">
        <is>
          <t>Deferred Income Tax (Liability)</t>
        </is>
      </c>
      <c r="C36" s="22" t="n">
        <v>2835</v>
      </c>
      <c r="D36" s="43" t="n">
        <v>1</v>
      </c>
      <c r="E36" s="29" t="n">
        <v>2835</v>
      </c>
      <c r="F36" s="36" t="inlineStr">
        <is>
          <t>100% contractual</t>
        </is>
      </c>
    </row>
    <row r="37" ht="18" customHeight="1">
      <c r="B37" s="6" t="inlineStr">
        <is>
          <t>Operating Lease Liabilities (LT)</t>
        </is>
      </c>
      <c r="C37" s="22" t="n">
        <v>17437</v>
      </c>
      <c r="D37" s="43" t="n">
        <v>1</v>
      </c>
      <c r="E37" s="29" t="n">
        <v>17437</v>
      </c>
      <c r="F37" s="36" t="inlineStr">
        <is>
          <t>100% contractual</t>
        </is>
      </c>
    </row>
    <row r="38" ht="18" customHeight="1">
      <c r="B38" s="6" t="inlineStr">
        <is>
          <t>Other Long-term Liabilities</t>
        </is>
      </c>
      <c r="C38" s="22" t="n">
        <v>45186</v>
      </c>
      <c r="D38" s="43" t="n">
        <v>1</v>
      </c>
      <c r="E38" s="29" t="n">
        <v>45186</v>
      </c>
      <c r="F38" s="36" t="inlineStr">
        <is>
          <t>100% contractual</t>
        </is>
      </c>
    </row>
    <row r="39" ht="18" customHeight="1">
      <c r="B39" s="17" t="inlineStr">
        <is>
          <t>Total Pasivos</t>
        </is>
      </c>
      <c r="C39" s="44" t="n"/>
      <c r="D39" s="44" t="n"/>
      <c r="E39" s="23" t="n">
        <v>275524</v>
      </c>
      <c r="F39" s="36" t="inlineStr"/>
    </row>
    <row r="41" ht="16" customHeight="1">
      <c r="B41" s="5" t="inlineStr">
        <is>
          <t>CÁLCULO REPRODUCTION VALUE</t>
        </is>
      </c>
    </row>
    <row r="42" ht="18" customHeight="1">
      <c r="B42" s="6" t="inlineStr">
        <is>
          <t>Total Activos (Reproduction)</t>
        </is>
      </c>
      <c r="E42" s="29" t="n">
        <v>715133</v>
      </c>
      <c r="F42" s="36" t="inlineStr"/>
    </row>
    <row r="43" ht="18" customHeight="1">
      <c r="B43" s="6" t="inlineStr">
        <is>
          <t>(−) Total Pasivos</t>
        </is>
      </c>
      <c r="E43" s="29" t="n">
        <v>-275524</v>
      </c>
      <c r="F43" s="36" t="inlineStr">
        <is>
          <t>Contractual obligations at 100%</t>
        </is>
      </c>
    </row>
    <row r="44">
      <c r="B44" s="40" t="inlineStr">
        <is>
          <t>Reproduction Value ($M)</t>
        </is>
      </c>
      <c r="C44" s="45" t="n"/>
      <c r="D44" s="45" t="n"/>
      <c r="E44" s="28" t="n">
        <v>439609</v>
      </c>
      <c r="F44" s="45" t="n"/>
    </row>
    <row r="45">
      <c r="B45" s="6" t="inlineStr">
        <is>
          <t>Acciones Diluidas (M)</t>
        </is>
      </c>
      <c r="E45" s="10" t="n">
        <v>7464</v>
      </c>
    </row>
    <row r="46">
      <c r="B46" s="17" t="inlineStr">
        <is>
          <t>Reproduction Value por Acción</t>
        </is>
      </c>
      <c r="C46" s="44" t="n"/>
      <c r="D46" s="44" t="n"/>
      <c r="E46" s="46">
        <f>E44/E45</f>
        <v/>
      </c>
    </row>
    <row r="48" ht="40" customHeight="1">
      <c r="B48" s="36" t="inlineStr">
        <is>
          <t>NOTA: El Reproduction Value no captura el time-to-build: incluso con capital ilimitado, replicar Microsoft tomaría 10-15+ años. Este es un estimado conservador del valor de los activos físicos e intelectuales replicables.</t>
        </is>
      </c>
    </row>
    <row r="50">
      <c r="B50" s="15" t="inlineStr">
        <is>
          <t>Source: Microsoft 10-K FY2020-FY2025 (SEC EDGAR) | DCE Holdings | 05-May-2026</t>
        </is>
      </c>
    </row>
  </sheetData>
  <mergeCells count="9">
    <mergeCell ref="B6:F6"/>
    <mergeCell ref="B2:F2"/>
    <mergeCell ref="B48:F48"/>
    <mergeCell ref="B25:F25"/>
    <mergeCell ref="B3:F3"/>
    <mergeCell ref="B31:F31"/>
    <mergeCell ref="B50:F50"/>
    <mergeCell ref="B17:F17"/>
    <mergeCell ref="B41:F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833C00"/>
    <outlinePr summaryBelow="1" summaryRight="1"/>
    <pageSetUpPr/>
  </sheetPr>
  <dimension ref="B2:K3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6" t="inlineStr">
        <is>
          <t>NOPAT AJUSTADO — Microsoft Corporation (MSFT)</t>
        </is>
      </c>
    </row>
    <row r="3">
      <c r="B3" s="17" t="inlineStr">
        <is>
          <t>Normalización: FY2023 restructuring $1.2B + Russia exit $0.126B; FY2024 restructuring $0.8B | Ventana FY2021-FY2025</t>
        </is>
      </c>
    </row>
    <row r="4" ht="16" customHeight="1">
      <c r="B4" s="18" t="inlineStr">
        <is>
          <t>CONCEPTO</t>
        </is>
      </c>
      <c r="C4" s="18" t="inlineStr">
        <is>
          <t>PARÁMETRO / NOTA</t>
        </is>
      </c>
      <c r="D4" s="18" t="inlineStr">
        <is>
          <t>FY2020</t>
        </is>
      </c>
      <c r="E4" s="18" t="inlineStr">
        <is>
          <t>FY2021</t>
        </is>
      </c>
      <c r="F4" s="18" t="inlineStr">
        <is>
          <t>FY2022</t>
        </is>
      </c>
      <c r="G4" s="18" t="inlineStr">
        <is>
          <t>FY2023</t>
        </is>
      </c>
      <c r="H4" s="18" t="inlineStr">
        <is>
          <t>FY2024</t>
        </is>
      </c>
      <c r="I4" s="18" t="inlineStr">
        <is>
          <t>FY2025</t>
        </is>
      </c>
      <c r="J4" s="18" t="inlineStr">
        <is>
          <t>Normalizado</t>
        </is>
      </c>
    </row>
    <row r="5" ht="16" customHeight="1">
      <c r="B5" s="5" t="inlineStr">
        <is>
          <t>PARÁMETROS</t>
        </is>
      </c>
    </row>
    <row r="6">
      <c r="B6" s="6" t="inlineStr">
        <is>
          <t>Tax Rate Normalizado</t>
        </is>
      </c>
      <c r="C6" s="47" t="n">
        <v>0.18</v>
      </c>
      <c r="D6" s="9" t="inlineStr">
        <is>
          <t>DP8: 18.0%</t>
        </is>
      </c>
    </row>
    <row r="7">
      <c r="B7" s="6" t="inlineStr">
        <is>
          <t>Ventana Normalización</t>
        </is>
      </c>
      <c r="C7" s="9" t="inlineStr">
        <is>
          <t>FY2021-FY2025 (5 años)</t>
        </is>
      </c>
    </row>
    <row r="8" ht="24" customHeight="1">
      <c r="B8" s="6" t="inlineStr">
        <is>
          <t>Items Normalizados</t>
        </is>
      </c>
      <c r="C8" s="36" t="inlineStr">
        <is>
          <t>FY23: Restructuring $1.2B + Russia exit $0.126B = $1.326B | FY24: Restructuring $0.8B</t>
        </is>
      </c>
    </row>
    <row r="9">
      <c r="B9" s="6" t="inlineStr">
        <is>
          <t>Revenue Base (No-Growth Scenario)</t>
        </is>
      </c>
      <c r="C9" s="22" t="n">
        <v>281724</v>
      </c>
      <c r="D9" s="36" t="inlineStr">
        <is>
          <t>Analytical input. Default = FY2025 Revenue. Adjust if no-growth revenue ≠ last FY.</t>
        </is>
      </c>
    </row>
    <row r="10" ht="30" customHeight="1">
      <c r="B10" s="6" t="inlineStr">
        <is>
          <t>Margen Op Normalizado</t>
        </is>
      </c>
      <c r="C10" s="72" t="n">
        <v>0.34</v>
      </c>
      <c r="D10" s="36" t="inlineStr">
        <is>
          <t>Analytical input. Margen Op Limpio series: 37.0%, 41.6%, 42.1%, 41.8%, 44.7%, 45.6%. CIO-approved: 34.0% (normaliza expansión AI y cautela sobre compresión post-AI-hype)</t>
        </is>
      </c>
    </row>
    <row r="11">
      <c r="B11" s="6" t="inlineStr">
        <is>
          <t>SBC Treatment</t>
        </is>
      </c>
      <c r="C11" s="9" t="inlineStr">
        <is>
          <t>DP5: Caso A — SBC embedded en OpEx. NO add-back. NO deduction.</t>
        </is>
      </c>
    </row>
    <row r="13" ht="16" customHeight="1">
      <c r="B13" s="5" t="inlineStr">
        <is>
          <t>INGRESOS</t>
        </is>
      </c>
    </row>
    <row r="14" ht="16" customHeight="1">
      <c r="B14" s="6" t="inlineStr">
        <is>
          <t>Revenue</t>
        </is>
      </c>
      <c r="C14" s="36" t="inlineStr">
        <is>
          <t>Link: 2. IS Revenue | FY most-recent for Normalizado</t>
        </is>
      </c>
      <c r="D14" s="48" t="n">
        <v>143015</v>
      </c>
      <c r="E14" s="48" t="n">
        <v>168088</v>
      </c>
      <c r="F14" s="48" t="n">
        <v>198270</v>
      </c>
      <c r="G14" s="48" t="n">
        <v>211915</v>
      </c>
      <c r="H14" s="48" t="n">
        <v>245122</v>
      </c>
      <c r="I14" s="48" t="n">
        <v>281724</v>
      </c>
      <c r="J14" s="48" t="n">
        <v>281724</v>
      </c>
    </row>
    <row r="16" ht="16" customHeight="1">
      <c r="B16" s="5" t="inlineStr">
        <is>
          <t>CÁLCULO — UTILIDAD OPERATIVA AJUSTADA</t>
        </is>
      </c>
    </row>
    <row r="17" ht="16" customHeight="1">
      <c r="B17" s="6" t="inlineStr">
        <is>
          <t>Utilidad Operativa Reportada</t>
        </is>
      </c>
      <c r="D17" s="48" t="n">
        <v>52959</v>
      </c>
      <c r="E17" s="48" t="n">
        <v>69916</v>
      </c>
      <c r="F17" s="48" t="n">
        <v>83383</v>
      </c>
      <c r="G17" s="48" t="n">
        <v>88523</v>
      </c>
      <c r="H17" s="48" t="n">
        <v>109433</v>
      </c>
      <c r="I17" s="48" t="n">
        <v>128528</v>
      </c>
      <c r="J17" s="48" t="n">
        <v>128528</v>
      </c>
    </row>
    <row r="18">
      <c r="B18" s="6" t="inlineStr">
        <is>
          <t>(+) Ajuste: Restructuring FY23 (+$1.326B) / FY24 (+$0.8B)</t>
        </is>
      </c>
      <c r="C18" s="9" t="inlineStr">
        <is>
          <t>Normalize restructuring charges</t>
        </is>
      </c>
      <c r="D18" s="22" t="n">
        <v>0</v>
      </c>
      <c r="E18" s="22" t="n">
        <v>0</v>
      </c>
      <c r="F18" s="22" t="n">
        <v>0</v>
      </c>
      <c r="G18" s="22" t="n">
        <v>1326</v>
      </c>
      <c r="H18" s="22" t="n">
        <v>800</v>
      </c>
      <c r="I18" s="22" t="n">
        <v>0</v>
      </c>
      <c r="J18" s="29" t="n">
        <v>0</v>
      </c>
    </row>
    <row r="19">
      <c r="B19" s="17" t="inlineStr">
        <is>
          <t>Utilidad Operativa Limpia</t>
        </is>
      </c>
      <c r="C19" s="49">
        <f> Reported + Normalization adj.</f>
        <v/>
      </c>
      <c r="D19" s="23">
        <f>D17+D18</f>
        <v/>
      </c>
      <c r="E19" s="23">
        <f>E17+E18</f>
        <v/>
      </c>
      <c r="F19" s="23">
        <f>F17+F18</f>
        <v/>
      </c>
      <c r="G19" s="23">
        <f>G17+G18</f>
        <v/>
      </c>
      <c r="H19" s="23">
        <f>H17+H18</f>
        <v/>
      </c>
      <c r="I19" s="23">
        <f>I17+I18</f>
        <v/>
      </c>
      <c r="J19" s="23">
        <f>C9*C10</f>
        <v/>
      </c>
    </row>
    <row r="20">
      <c r="B20" s="6" t="inlineStr">
        <is>
          <t>(+) Sales &amp; Marketing add-back (TOTAL)</t>
        </is>
      </c>
      <c r="C20" s="9" t="inlineStr">
        <is>
          <t>DP2: capitalize S&amp;M — total expense added back</t>
        </is>
      </c>
      <c r="D20" s="29" t="n">
        <v>19598</v>
      </c>
      <c r="E20" s="29" t="n">
        <v>20117</v>
      </c>
      <c r="F20" s="29" t="n">
        <v>21825</v>
      </c>
      <c r="G20" s="29" t="n">
        <v>22759</v>
      </c>
      <c r="H20" s="29" t="n">
        <v>24456</v>
      </c>
      <c r="I20" s="29" t="n">
        <v>25798</v>
      </c>
      <c r="J20" s="29" t="n">
        <v>25798</v>
      </c>
    </row>
    <row r="21">
      <c r="B21" s="6" t="inlineStr">
        <is>
          <t>(−) Economic Amortization S&amp;M (maintenance)</t>
        </is>
      </c>
      <c r="C21" s="9" t="inlineStr">
        <is>
          <t>Link: 6. S&amp;M Cap amortization</t>
        </is>
      </c>
      <c r="D21" s="29" t="n">
        <v>0</v>
      </c>
      <c r="E21" s="29" t="n">
        <v>-4023.4</v>
      </c>
      <c r="F21" s="29" t="n">
        <v>-8388.4</v>
      </c>
      <c r="G21" s="29" t="n">
        <v>-12940.2</v>
      </c>
      <c r="H21" s="29" t="n">
        <v>-17831.4</v>
      </c>
      <c r="I21" s="29" t="n">
        <v>-22991</v>
      </c>
      <c r="J21" s="29" t="n">
        <v>-22991</v>
      </c>
    </row>
    <row r="22">
      <c r="B22" s="9" t="inlineStr">
        <is>
          <t>S&amp;M Growth Expense (referencia — no reduce NOPAT)</t>
        </is>
      </c>
      <c r="C22" s="36" t="inlineStr">
        <is>
          <t>INVESTMENT, not expense. Feeds Implied IRR Sec 4.</t>
        </is>
      </c>
      <c r="D22" s="50" t="n">
        <v>0</v>
      </c>
      <c r="E22" s="50" t="n">
        <v>16093.6</v>
      </c>
      <c r="F22" s="50" t="n">
        <v>13436.6</v>
      </c>
      <c r="G22" s="50" t="n">
        <v>9818.799999999999</v>
      </c>
      <c r="H22" s="50" t="n">
        <v>6624.599999999999</v>
      </c>
      <c r="I22" s="50" t="n">
        <v>2807</v>
      </c>
      <c r="J22" s="50" t="n">
        <v>2807</v>
      </c>
    </row>
    <row r="23">
      <c r="B23" s="6" t="inlineStr">
        <is>
          <t>(+) Research &amp; Development add-back (TOTAL)</t>
        </is>
      </c>
      <c r="C23" s="9" t="inlineStr">
        <is>
          <t>DP2: capitalize R&amp;D — total expense added back</t>
        </is>
      </c>
      <c r="D23" s="29" t="n">
        <v>19269</v>
      </c>
      <c r="E23" s="29" t="n">
        <v>20716</v>
      </c>
      <c r="F23" s="29" t="n">
        <v>24512</v>
      </c>
      <c r="G23" s="29" t="n">
        <v>27195</v>
      </c>
      <c r="H23" s="29" t="n">
        <v>29510</v>
      </c>
      <c r="I23" s="29" t="n">
        <v>32704</v>
      </c>
      <c r="J23" s="29" t="n">
        <v>32704</v>
      </c>
    </row>
    <row r="24">
      <c r="B24" s="6" t="inlineStr">
        <is>
          <t>(−) Economic Amortization R&amp;D (maintenance)</t>
        </is>
      </c>
      <c r="C24" s="9" t="inlineStr">
        <is>
          <t>Link: 7. R&amp;D Cap amortization</t>
        </is>
      </c>
      <c r="D24" s="29" t="n">
        <v>-3211.5</v>
      </c>
      <c r="E24" s="29" t="n">
        <v>-6664.166666666666</v>
      </c>
      <c r="F24" s="29" t="n">
        <v>-10749.5</v>
      </c>
      <c r="G24" s="29" t="n">
        <v>-15282</v>
      </c>
      <c r="H24" s="29" t="n">
        <v>-20200.33333333333</v>
      </c>
      <c r="I24" s="29" t="n">
        <v>-25651</v>
      </c>
      <c r="J24" s="29" t="n">
        <v>-25651</v>
      </c>
    </row>
    <row r="25">
      <c r="B25" s="9" t="inlineStr">
        <is>
          <t>R&amp;D Growth Expense (referencia — no reduce NOPAT)</t>
        </is>
      </c>
      <c r="C25" s="36" t="inlineStr">
        <is>
          <t>INVESTMENT, not expense. Feeds Implied IRR Sec 4.</t>
        </is>
      </c>
      <c r="D25" s="50" t="n">
        <v>16057.5</v>
      </c>
      <c r="E25" s="50" t="n">
        <v>14051.83333333333</v>
      </c>
      <c r="F25" s="50" t="n">
        <v>13762.5</v>
      </c>
      <c r="G25" s="50" t="n">
        <v>11913</v>
      </c>
      <c r="H25" s="50" t="n">
        <v>9309.666666666668</v>
      </c>
      <c r="I25" s="50" t="n">
        <v>7053</v>
      </c>
      <c r="J25" s="50" t="n">
        <v>7053</v>
      </c>
    </row>
    <row r="26">
      <c r="B26" s="17" t="inlineStr">
        <is>
          <t>Utilidad Operativa Ajustada (pre-tax)</t>
        </is>
      </c>
      <c r="C26" s="51">
        <f> OpClean + S&amp;M addback − S&amp;M Amort + R&amp;D addback − R&amp;D Amort</f>
        <v/>
      </c>
      <c r="D26" s="23">
        <f>D19+D20+D21+D23+D24</f>
        <v/>
      </c>
      <c r="E26" s="23">
        <f>E19+E20+E21+E23+E24</f>
        <v/>
      </c>
      <c r="F26" s="23">
        <f>F19+F20+F21+F23+F24</f>
        <v/>
      </c>
      <c r="G26" s="23">
        <f>G19+G20+G21+G23+G24</f>
        <v/>
      </c>
      <c r="H26" s="23">
        <f>H19+H20+H21+H23+H24</f>
        <v/>
      </c>
      <c r="I26" s="23">
        <f>I19+I20+I21+I23+I24</f>
        <v/>
      </c>
      <c r="J26" s="23">
        <f>J19+J20+J21+J23+J24</f>
        <v/>
      </c>
    </row>
    <row r="27">
      <c r="B27" s="6" t="inlineStr">
        <is>
          <t>× (1 − Tax Rate Normalizado)</t>
        </is>
      </c>
      <c r="C27" s="9" t="inlineStr">
        <is>
          <t>Tax shield applied at normalized rate 18%</t>
        </is>
      </c>
      <c r="D27" s="12" t="n">
        <v>0.8200000000000001</v>
      </c>
      <c r="E27" s="12" t="n">
        <v>0.8200000000000001</v>
      </c>
      <c r="F27" s="12" t="n">
        <v>0.8200000000000001</v>
      </c>
      <c r="G27" s="12" t="n">
        <v>0.8200000000000001</v>
      </c>
      <c r="H27" s="12" t="n">
        <v>0.8200000000000001</v>
      </c>
      <c r="I27" s="12" t="n">
        <v>0.8200000000000001</v>
      </c>
      <c r="J27" s="12">
        <f>1-C6</f>
        <v/>
      </c>
    </row>
    <row r="28">
      <c r="B28" s="40" t="inlineStr">
        <is>
          <t>NOPAT Ajustado</t>
        </is>
      </c>
      <c r="C28" s="52">
        <f> Adj OpInc × (1−t)</f>
        <v/>
      </c>
      <c r="D28" s="28">
        <f>D26*D27</f>
        <v/>
      </c>
      <c r="E28" s="28">
        <f>E26*E27</f>
        <v/>
      </c>
      <c r="F28" s="28">
        <f>F26*F27</f>
        <v/>
      </c>
      <c r="G28" s="28">
        <f>G26*G27</f>
        <v/>
      </c>
      <c r="H28" s="28">
        <f>H26*H27</f>
        <v/>
      </c>
      <c r="I28" s="28">
        <f>I26*I27</f>
        <v/>
      </c>
      <c r="J28" s="28">
        <f>J26*J27</f>
        <v/>
      </c>
    </row>
    <row r="30" ht="16" customHeight="1">
      <c r="B30" s="5" t="inlineStr">
        <is>
          <t>MÉTRICAS</t>
        </is>
      </c>
    </row>
    <row r="31">
      <c r="B31" s="6" t="inlineStr">
        <is>
          <t>Margen Op Limpio (OpInc Clean / Revenue)</t>
        </is>
      </c>
      <c r="C31" s="9" t="inlineStr">
        <is>
          <t>Historical clean operating margin</t>
        </is>
      </c>
      <c r="D31" s="12">
        <f>D19/D14</f>
        <v/>
      </c>
      <c r="E31" s="12">
        <f>E19/E14</f>
        <v/>
      </c>
      <c r="F31" s="12">
        <f>F19/F14</f>
        <v/>
      </c>
      <c r="G31" s="12">
        <f>G19/G14</f>
        <v/>
      </c>
      <c r="H31" s="12">
        <f>H19/H14</f>
        <v/>
      </c>
      <c r="I31" s="12">
        <f>I19/I14</f>
        <v/>
      </c>
      <c r="J31" s="47">
        <f>C10</f>
        <v/>
      </c>
    </row>
    <row r="32">
      <c r="B32" s="6" t="inlineStr">
        <is>
          <t>NOPAT Margin %</t>
        </is>
      </c>
      <c r="D32" s="12">
        <f>D28/D14</f>
        <v/>
      </c>
      <c r="E32" s="12">
        <f>E28/E14</f>
        <v/>
      </c>
      <c r="F32" s="12">
        <f>F28/F14</f>
        <v/>
      </c>
      <c r="G32" s="12">
        <f>G28/G14</f>
        <v/>
      </c>
      <c r="H32" s="12">
        <f>H28/H14</f>
        <v/>
      </c>
      <c r="I32" s="12">
        <f>I28/I14</f>
        <v/>
      </c>
      <c r="J32" s="12">
        <f>J28/J14</f>
        <v/>
      </c>
    </row>
    <row r="33">
      <c r="B33" s="6" t="inlineStr">
        <is>
          <t>NOPAT YoY Growth %</t>
        </is>
      </c>
      <c r="D33" s="39" t="inlineStr">
        <is>
          <t>—</t>
        </is>
      </c>
      <c r="E33" s="12">
        <f>(E28-D28)/ABS(D28)</f>
        <v/>
      </c>
      <c r="F33" s="12">
        <f>(F28-E28)/ABS(E28)</f>
        <v/>
      </c>
      <c r="G33" s="12">
        <f>(G28-F28)/ABS(F28)</f>
        <v/>
      </c>
      <c r="H33" s="12">
        <f>(H28-G28)/ABS(G28)</f>
        <v/>
      </c>
      <c r="I33" s="12">
        <f>(I28-H28)/ABS(H28)</f>
        <v/>
      </c>
      <c r="J33" s="39" t="inlineStr">
        <is>
          <t>—</t>
        </is>
      </c>
    </row>
    <row r="35" ht="16" customHeight="1">
      <c r="B35" s="5" t="inlineStr">
        <is>
          <t>REFERENCIAS (para EPV)</t>
        </is>
      </c>
    </row>
    <row r="36">
      <c r="B36" s="6" t="inlineStr">
        <is>
          <t>D&amp;A (Full Company)</t>
        </is>
      </c>
      <c r="D36" s="48" t="n">
        <v>8726</v>
      </c>
      <c r="E36" s="48" t="n">
        <v>11607</v>
      </c>
      <c r="F36" s="48" t="n">
        <v>14460</v>
      </c>
      <c r="G36" s="48" t="n">
        <v>13861</v>
      </c>
      <c r="H36" s="48" t="n">
        <v>22287</v>
      </c>
      <c r="I36" s="48" t="n">
        <v>34153</v>
      </c>
      <c r="J36" s="48" t="n">
        <v>34153</v>
      </c>
    </row>
    <row r="37">
      <c r="B37" s="6" t="inlineStr">
        <is>
          <t>CapEx</t>
        </is>
      </c>
      <c r="D37" s="48" t="n">
        <v>15441</v>
      </c>
      <c r="E37" s="48" t="n">
        <v>20622</v>
      </c>
      <c r="F37" s="48" t="n">
        <v>23886</v>
      </c>
      <c r="G37" s="48" t="n">
        <v>28107</v>
      </c>
      <c r="H37" s="48" t="n">
        <v>44477</v>
      </c>
      <c r="I37" s="48" t="n">
        <v>64551</v>
      </c>
      <c r="J37" s="48" t="n">
        <v>64551</v>
      </c>
    </row>
    <row r="39">
      <c r="B39" s="15" t="inlineStr">
        <is>
          <t>Source: Microsoft 10-K FY2020-FY2025 (SEC EDGAR) | DCE Holdings | 05-May-2026</t>
        </is>
      </c>
    </row>
  </sheetData>
  <mergeCells count="8">
    <mergeCell ref="B5:J5"/>
    <mergeCell ref="B35:J35"/>
    <mergeCell ref="B2:K2"/>
    <mergeCell ref="B16:J16"/>
    <mergeCell ref="B13:J13"/>
    <mergeCell ref="B30:J30"/>
    <mergeCell ref="B3:K3"/>
    <mergeCell ref="B39:J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7030A0"/>
    <outlinePr summaryBelow="1" summaryRight="1"/>
    <pageSetUpPr/>
  </sheetPr>
  <dimension ref="B2:I5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32" customWidth="1" min="4" max="4"/>
    <col width="14" customWidth="1" min="5" max="5"/>
  </cols>
  <sheetData>
    <row r="2">
      <c r="B2" s="16" t="inlineStr">
        <is>
          <t>EARNINGS POWER VALUE (EPV) — Microsoft Corporation (MSFT)</t>
        </is>
      </c>
    </row>
    <row r="4" ht="16" customHeight="1">
      <c r="B4" s="5" t="inlineStr">
        <is>
          <t>SECCIÓN 1: WACC</t>
        </is>
      </c>
    </row>
    <row r="5" ht="16" customHeight="1">
      <c r="B5" s="6" t="inlineStr">
        <is>
          <t>Risk-Free Rate (Rf)</t>
        </is>
      </c>
      <c r="C5" s="47" t="n">
        <v>0.0439</v>
      </c>
      <c r="D5" s="36" t="inlineStr">
        <is>
          <t>DP11: 10Y UST May 2026 = 4.39%</t>
        </is>
      </c>
    </row>
    <row r="6" ht="16" customHeight="1">
      <c r="B6" s="6" t="inlineStr">
        <is>
          <t>Beta (β)</t>
        </is>
      </c>
      <c r="C6" s="53" t="n">
        <v>1.04</v>
      </c>
      <c r="D6" s="36" t="inlineStr">
        <is>
          <t>DP11: GuruFocus levered beta May 2026 = 1.04</t>
        </is>
      </c>
    </row>
    <row r="7" ht="16" customHeight="1">
      <c r="B7" s="6" t="inlineStr">
        <is>
          <t>Equity Risk Premium (ERP)</t>
        </is>
      </c>
      <c r="C7" s="47" t="n">
        <v>0.045</v>
      </c>
      <c r="D7" s="36" t="inlineStr">
        <is>
          <t>DP11: Damodaran 2026 adjusted = 4.5%</t>
        </is>
      </c>
    </row>
    <row r="8" ht="16" customHeight="1">
      <c r="B8" s="19" t="inlineStr">
        <is>
          <t>Cost of Equity (Ke) = Rf + β×ERP</t>
        </is>
      </c>
      <c r="C8" s="54">
        <f>C5+C6*C7</f>
        <v/>
      </c>
      <c r="D8" s="55" t="n"/>
    </row>
    <row r="9" ht="16" customHeight="1">
      <c r="B9" s="6" t="inlineStr">
        <is>
          <t>Cost of Debt, pre-tax (Kd)</t>
        </is>
      </c>
      <c r="C9" s="47" t="n">
        <v>0.048</v>
      </c>
      <c r="D9" s="36" t="inlineStr">
        <is>
          <t>DP11: MSFT AAA bonds ~4.8% pre-tax</t>
        </is>
      </c>
    </row>
    <row r="10" ht="16" customHeight="1">
      <c r="B10" s="6" t="inlineStr">
        <is>
          <t>Tax Rate (Normalizado)</t>
        </is>
      </c>
      <c r="C10" s="56">
        <f>C6</f>
        <v/>
      </c>
      <c r="D10" s="36" t="inlineStr">
        <is>
          <t>Link: 9. NOPAT tax rate parameter</t>
        </is>
      </c>
    </row>
    <row r="11" ht="16" customHeight="1">
      <c r="B11" s="6" t="inlineStr">
        <is>
          <t>Cost of Debt, post-tax (Kd×(1−t))</t>
        </is>
      </c>
      <c r="C11" s="12">
        <f>C9*(1-C10)</f>
        <v/>
      </c>
    </row>
    <row r="12" ht="16" customHeight="1">
      <c r="B12" s="6" t="inlineStr">
        <is>
          <t>E/(D+E)</t>
        </is>
      </c>
      <c r="C12" s="47" t="n">
        <v>0.986</v>
      </c>
      <c r="D12" s="36" t="inlineStr">
        <is>
          <t>Equity weight | D/V = 1.4% (DP11)</t>
        </is>
      </c>
    </row>
    <row r="13" ht="16" customHeight="1">
      <c r="B13" s="6" t="inlineStr">
        <is>
          <t>D/(D+E)</t>
        </is>
      </c>
      <c r="C13" s="47" t="n">
        <v>0.014</v>
      </c>
      <c r="D13" s="36" t="inlineStr">
        <is>
          <t>Debt weight | D/V = 1.4% (DP11)</t>
        </is>
      </c>
    </row>
    <row r="14" ht="16" customHeight="1">
      <c r="B14" s="27" t="inlineStr">
        <is>
          <t>WACC</t>
        </is>
      </c>
      <c r="C14" s="57">
        <f>C8*C12+C11*C13</f>
        <v/>
      </c>
      <c r="D14" s="58">
        <f> Ke×E/(D+E) + Kd_post×D/(D+E)</f>
        <v/>
      </c>
    </row>
    <row r="16" ht="16" customHeight="1">
      <c r="B16" s="5" t="inlineStr">
        <is>
          <t>SECCIÓN 2: CÁLCULO EPV</t>
        </is>
      </c>
    </row>
    <row r="17" ht="16" customHeight="1">
      <c r="B17" s="6" t="inlineStr">
        <is>
          <t>Adj. Operating Income (Normalizado)</t>
        </is>
      </c>
      <c r="C17" s="48" t="n">
        <v>105646.16</v>
      </c>
      <c r="D17" s="36" t="inlineStr">
        <is>
          <t>Link: 9. NOPAT Normalizado adj OpInc</t>
        </is>
      </c>
    </row>
    <row r="18" ht="16" customHeight="1">
      <c r="B18" s="6" t="inlineStr">
        <is>
          <t>× (1 − Tax Rate)</t>
        </is>
      </c>
      <c r="C18" s="12" t="n">
        <v>0.8200000000000001</v>
      </c>
      <c r="D18" s="36">
        <f> 1 − 18%</f>
        <v/>
      </c>
    </row>
    <row r="19" ht="16" customHeight="1">
      <c r="B19" s="19" t="inlineStr">
        <is>
          <t>NOPAT Normalizado</t>
        </is>
      </c>
      <c r="C19" s="73" t="n">
        <v>86629.85000000001</v>
      </c>
      <c r="D19" s="59">
        <f> Adj OpInc × (1−t) | Link: NOPAT sheet col J</f>
        <v/>
      </c>
    </row>
    <row r="20" ht="16" customHeight="1">
      <c r="B20" s="6" t="inlineStr">
        <is>
          <t>(+) D&amp;A (add-back, non-cash)</t>
        </is>
      </c>
      <c r="C20" s="48" t="n">
        <v>34153</v>
      </c>
      <c r="D20" s="36" t="inlineStr">
        <is>
          <t>Link: NOPAT References | FY2025 D&amp;A = $34,153M</t>
        </is>
      </c>
    </row>
    <row r="21" ht="16" customHeight="1">
      <c r="B21" s="6" t="inlineStr">
        <is>
          <t>(−) Maintenance CapEx (Zero-Growth)</t>
        </is>
      </c>
      <c r="C21" s="22" t="n">
        <v>34153</v>
      </c>
      <c r="D21" s="36" t="inlineStr">
        <is>
          <t>Blue input: default = D&amp;A. Override if maintenance capex ≠ D&amp;A.</t>
        </is>
      </c>
    </row>
    <row r="22" ht="16" customHeight="1">
      <c r="B22" s="27" t="inlineStr">
        <is>
          <t>EPV Operaciones = (NOPAT + D&amp;A − MaintCapEx) / WACC</t>
        </is>
      </c>
      <c r="C22" s="28">
        <f>(C19+C20-C21)/C14</f>
        <v/>
      </c>
      <c r="D22" s="58" t="inlineStr">
        <is>
          <t>When Maint CapEx = D&amp;A → EPV = NOPAT / WACC</t>
        </is>
      </c>
    </row>
    <row r="24" ht="16" customHeight="1">
      <c r="B24" s="5" t="inlineStr">
        <is>
          <t>SECCIÓN 3: BRIDGE EPV OPERACIONES → EQUITY EPV</t>
        </is>
      </c>
    </row>
    <row r="25" ht="16" customHeight="1">
      <c r="B25" s="6" t="inlineStr">
        <is>
          <t>EPV Operaciones</t>
        </is>
      </c>
      <c r="C25" s="48">
        <f>C22</f>
        <v/>
      </c>
      <c r="D25" s="36" t="inlineStr">
        <is>
          <t>Enterprise value of earnings power</t>
        </is>
      </c>
    </row>
    <row r="26" ht="16" customHeight="1">
      <c r="B26" s="6" t="inlineStr">
        <is>
          <t>(+) Excess Cash (Cash+STI − 2% Rev buffer)</t>
        </is>
      </c>
      <c r="C26" s="22" t="n">
        <v>89000</v>
      </c>
      <c r="D26" s="36" t="inlineStr">
        <is>
          <t>DP10: $94.6B − $5.6B buffer = $89B</t>
        </is>
      </c>
    </row>
    <row r="27" ht="16" customHeight="1">
      <c r="B27" s="6" t="inlineStr">
        <is>
          <t>(+) Non-Operating Assets (Equity Inv.)</t>
        </is>
      </c>
      <c r="C27" s="22" t="n">
        <v>15405</v>
      </c>
      <c r="D27" s="36" t="inlineStr">
        <is>
          <t>DP10: Equity &amp; Other Investments $15.4B</t>
        </is>
      </c>
    </row>
    <row r="28" ht="16" customHeight="1">
      <c r="B28" s="6" t="inlineStr">
        <is>
          <t>(−) Total Debt</t>
        </is>
      </c>
      <c r="C28" s="22" t="n">
        <v>43151</v>
      </c>
      <c r="D28" s="36" t="inlineStr">
        <is>
          <t>LTD $40,152M + CLTD $2,999M = $43,151M</t>
        </is>
      </c>
    </row>
    <row r="29" ht="16" customHeight="1">
      <c r="B29" s="6" t="inlineStr">
        <is>
          <t>(−) Lease Liabilities (LT Operating)</t>
        </is>
      </c>
      <c r="C29" s="22" t="n">
        <v>17437</v>
      </c>
      <c r="D29" s="36" t="inlineStr">
        <is>
          <t>LT Operating Lease FY2025</t>
        </is>
      </c>
    </row>
    <row r="30" ht="16" customHeight="1">
      <c r="B30" s="6" t="inlineStr">
        <is>
          <t>(−) Minority Interest</t>
        </is>
      </c>
      <c r="C30" s="22" t="n">
        <v>0</v>
      </c>
      <c r="D30" s="36" t="inlineStr">
        <is>
          <t>Not material for MSFT</t>
        </is>
      </c>
    </row>
    <row r="31" ht="16" customHeight="1">
      <c r="B31" s="19" t="inlineStr">
        <is>
          <t>EPV Equity ($M)</t>
        </is>
      </c>
      <c r="C31" s="23">
        <f>C22+C26+C27-C28-C29</f>
        <v/>
      </c>
      <c r="D31" s="59">
        <f> EPV Ops + Excess Cash + Non-Op − Debt − Leases</f>
        <v/>
      </c>
    </row>
    <row r="32" ht="16" customHeight="1">
      <c r="B32" s="6" t="inlineStr">
        <is>
          <t>Acciones Diluidas (M)</t>
        </is>
      </c>
      <c r="C32" s="10" t="n">
        <v>7464</v>
      </c>
      <c r="D32" s="36" t="inlineStr">
        <is>
          <t>FY2025 diluted shares</t>
        </is>
      </c>
    </row>
    <row r="33" ht="16" customHeight="1">
      <c r="B33" s="27" t="inlineStr">
        <is>
          <t>EPV por Acción</t>
        </is>
      </c>
      <c r="C33" s="60">
        <f>C31/C32</f>
        <v/>
      </c>
      <c r="D33" s="58" t="inlineStr">
        <is>
          <t>EPV per share in $</t>
        </is>
      </c>
    </row>
    <row r="35">
      <c r="B35" s="6" t="inlineStr">
        <is>
          <t>Precio Actual</t>
        </is>
      </c>
      <c r="C35" s="8" t="n">
        <v>414.44</v>
      </c>
    </row>
    <row r="36">
      <c r="B36" s="6" t="inlineStr">
        <is>
          <t>EPV / Acción</t>
        </is>
      </c>
      <c r="C36" s="13">
        <f>C33</f>
        <v/>
      </c>
    </row>
    <row r="37">
      <c r="B37" s="19" t="inlineStr">
        <is>
          <t>Descuento / Prima</t>
        </is>
      </c>
      <c r="C37" s="54">
        <f>(C33-414.44)/C33</f>
        <v/>
      </c>
      <c r="D37" s="61" t="inlineStr">
        <is>
          <t>(EPV − Price) / EPV</t>
        </is>
      </c>
    </row>
    <row r="40">
      <c r="B40" s="24" t="inlineStr">
        <is>
          <t>SENSIBILIDAD EPV — WACC × NOPAT VARIATION</t>
        </is>
      </c>
    </row>
    <row r="41" ht="16" customHeight="1">
      <c r="B41" s="18" t="inlineStr">
        <is>
          <t>WACC \ NOPAT Mult</t>
        </is>
      </c>
      <c r="C41" s="18" t="inlineStr">
        <is>
          <t>85%</t>
        </is>
      </c>
      <c r="D41" s="18" t="inlineStr">
        <is>
          <t>90%</t>
        </is>
      </c>
      <c r="E41" s="18" t="inlineStr">
        <is>
          <t>95%</t>
        </is>
      </c>
      <c r="F41" s="18" t="inlineStr">
        <is>
          <t>100%</t>
        </is>
      </c>
      <c r="G41" s="18" t="inlineStr">
        <is>
          <t>105%</t>
        </is>
      </c>
      <c r="H41" s="18" t="inlineStr">
        <is>
          <t>110%</t>
        </is>
      </c>
      <c r="I41" s="18" t="inlineStr">
        <is>
          <t>114%</t>
        </is>
      </c>
    </row>
    <row r="42">
      <c r="B42" s="18" t="inlineStr">
        <is>
          <t>7.5%</t>
        </is>
      </c>
      <c r="C42" s="13" t="n">
        <v>1025621.98</v>
      </c>
      <c r="D42" s="13" t="n">
        <v>1083375.21</v>
      </c>
      <c r="E42" s="13" t="n">
        <v>1141128.45</v>
      </c>
      <c r="F42" s="13" t="n">
        <v>1198881.68</v>
      </c>
      <c r="G42" s="13" t="n">
        <v>1256634.92</v>
      </c>
      <c r="H42" s="13" t="n">
        <v>1314388.15</v>
      </c>
      <c r="I42" s="13" t="n">
        <v>1360590.74</v>
      </c>
    </row>
    <row r="43">
      <c r="B43" s="18" t="inlineStr">
        <is>
          <t>8.0%</t>
        </is>
      </c>
      <c r="C43" s="13" t="n">
        <v>964259.17</v>
      </c>
      <c r="D43" s="13" t="n">
        <v>1018402.83</v>
      </c>
      <c r="E43" s="13" t="n">
        <v>1072546.48</v>
      </c>
      <c r="F43" s="13" t="n">
        <v>1126690.14</v>
      </c>
      <c r="G43" s="13" t="n">
        <v>1180833.8</v>
      </c>
      <c r="H43" s="13" t="n">
        <v>1234977.45</v>
      </c>
      <c r="I43" s="13" t="n">
        <v>1278292.38</v>
      </c>
    </row>
    <row r="44">
      <c r="B44" s="18" t="inlineStr">
        <is>
          <t>8.5%</t>
        </is>
      </c>
      <c r="C44" s="13" t="n">
        <v>910115.51</v>
      </c>
      <c r="D44" s="13" t="n">
        <v>961074.25</v>
      </c>
      <c r="E44" s="13" t="n">
        <v>1012032.98</v>
      </c>
      <c r="F44" s="13" t="n">
        <v>1062991.72</v>
      </c>
      <c r="G44" s="13" t="n">
        <v>1113950.46</v>
      </c>
      <c r="H44" s="13" t="n">
        <v>1164909.19</v>
      </c>
      <c r="I44" s="13" t="n">
        <v>1205676.18</v>
      </c>
    </row>
    <row r="45">
      <c r="B45" s="18" t="inlineStr">
        <is>
          <t>9.0%</t>
        </is>
      </c>
      <c r="C45" s="13" t="n">
        <v>861987.8199999999</v>
      </c>
      <c r="D45" s="13" t="n">
        <v>910115.51</v>
      </c>
      <c r="E45" s="13" t="n">
        <v>958243.21</v>
      </c>
      <c r="F45" s="13" t="n">
        <v>1006370.9</v>
      </c>
      <c r="G45" s="13" t="n">
        <v>1054498.6</v>
      </c>
      <c r="H45" s="13" t="n">
        <v>1102626.29</v>
      </c>
      <c r="I45" s="13" t="n">
        <v>1141128.45</v>
      </c>
    </row>
    <row r="46">
      <c r="B46" s="18" t="inlineStr">
        <is>
          <t>9.5%</t>
        </is>
      </c>
      <c r="C46" s="13" t="n">
        <v>818926.1899999999</v>
      </c>
      <c r="D46" s="13" t="n">
        <v>864520.85</v>
      </c>
      <c r="E46" s="13" t="n">
        <v>910115.51</v>
      </c>
      <c r="F46" s="13" t="n">
        <v>955710.17</v>
      </c>
      <c r="G46" s="13" t="n">
        <v>1001304.83</v>
      </c>
      <c r="H46" s="13" t="n">
        <v>1046899.49</v>
      </c>
      <c r="I46" s="13" t="n">
        <v>1083375.21</v>
      </c>
    </row>
    <row r="47">
      <c r="B47" s="18" t="inlineStr">
        <is>
          <t>10.0%</t>
        </is>
      </c>
      <c r="C47" s="13" t="n">
        <v>780170.74</v>
      </c>
      <c r="D47" s="13" t="n">
        <v>823485.66</v>
      </c>
      <c r="E47" s="13" t="n">
        <v>866800.59</v>
      </c>
      <c r="F47" s="13" t="n">
        <v>910115.51</v>
      </c>
      <c r="G47" s="13" t="n">
        <v>953430.4399999999</v>
      </c>
      <c r="H47" s="13" t="n">
        <v>996745.36</v>
      </c>
      <c r="I47" s="13" t="n">
        <v>1031397.3</v>
      </c>
    </row>
    <row r="48">
      <c r="B48" s="18" t="inlineStr">
        <is>
          <t>11.0%</t>
        </is>
      </c>
      <c r="C48" s="13" t="n">
        <v>713229.49</v>
      </c>
      <c r="D48" s="13" t="n">
        <v>752606.6899999999</v>
      </c>
      <c r="E48" s="13" t="n">
        <v>791983.9</v>
      </c>
      <c r="F48" s="13" t="n">
        <v>831361.1</v>
      </c>
      <c r="G48" s="13" t="n">
        <v>870738.3100000001</v>
      </c>
      <c r="H48" s="13" t="n">
        <v>910115.51</v>
      </c>
      <c r="I48" s="13" t="n">
        <v>941617.28</v>
      </c>
    </row>
    <row r="50">
      <c r="B50" s="15" t="inlineStr">
        <is>
          <t>Source: Microsoft 10-K FY2020-FY2025 (SEC EDGAR) | DCE Holdings | 05-May-2026</t>
        </is>
      </c>
    </row>
  </sheetData>
  <mergeCells count="5">
    <mergeCell ref="B50:E50"/>
    <mergeCell ref="B4:E4"/>
    <mergeCell ref="B16:E16"/>
    <mergeCell ref="B24:E24"/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833C00"/>
    <outlinePr summaryBelow="1" summaryRight="1"/>
    <pageSetUpPr/>
  </sheetPr>
  <dimension ref="B2:I4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6" t="inlineStr">
        <is>
          <t>RETURN ON INVESTED CAPITAL (ROIC) — Microsoft Corporation (MSFT)</t>
        </is>
      </c>
    </row>
    <row r="3">
      <c r="B3" s="17" t="inlineStr">
        <is>
          <t>Three sections: ROIC Contable | Marginal ROIC | Marginal ROIC Accumulated Growth CapEx</t>
        </is>
      </c>
    </row>
    <row r="5" ht="16" customHeight="1">
      <c r="B5" s="5" t="inlineStr">
        <is>
          <t>SECCIÓN 1: ROIC CONTABLE</t>
        </is>
      </c>
    </row>
    <row r="6" ht="16" customHeight="1">
      <c r="B6" s="18" t="inlineStr">
        <is>
          <t>CONCEPTO ($M)</t>
        </is>
      </c>
      <c r="C6" s="18" t="inlineStr">
        <is>
          <t>FY2020</t>
        </is>
      </c>
      <c r="D6" s="18" t="inlineStr">
        <is>
          <t>FY2021</t>
        </is>
      </c>
      <c r="E6" s="18" t="inlineStr">
        <is>
          <t>FY2022</t>
        </is>
      </c>
      <c r="F6" s="18" t="inlineStr">
        <is>
          <t>FY2023</t>
        </is>
      </c>
      <c r="G6" s="18" t="inlineStr">
        <is>
          <t>FY2024</t>
        </is>
      </c>
      <c r="H6" s="18" t="inlineStr">
        <is>
          <t>FY2025</t>
        </is>
      </c>
    </row>
    <row r="7" ht="15" customHeight="1">
      <c r="B7" s="6" t="inlineStr">
        <is>
          <t>NOPAT (Ajustado)</t>
        </is>
      </c>
      <c r="C7" s="48" t="n">
        <v>72663.89</v>
      </c>
      <c r="D7" s="48" t="n">
        <v>82050.37533333334</v>
      </c>
      <c r="E7" s="48" t="n">
        <v>90677.32200000001</v>
      </c>
      <c r="F7" s="48" t="n">
        <v>91496.25600000001</v>
      </c>
      <c r="G7" s="48" t="n">
        <v>103457.1586666667</v>
      </c>
      <c r="H7" s="48" t="n">
        <v>113478.16</v>
      </c>
    </row>
    <row r="8">
      <c r="B8" s="19" t="inlineStr">
        <is>
          <t>CAPITAL INVERTIDO</t>
        </is>
      </c>
      <c r="C8" s="44" t="n"/>
      <c r="D8" s="44" t="n"/>
      <c r="E8" s="44" t="n"/>
      <c r="F8" s="44" t="n"/>
      <c r="G8" s="44" t="n"/>
      <c r="H8" s="44" t="n"/>
    </row>
    <row r="9" ht="15" customHeight="1">
      <c r="B9" s="6" t="inlineStr">
        <is>
          <t>Working Capital (Operating)</t>
        </is>
      </c>
      <c r="C9" s="29" t="n">
        <v>-20526</v>
      </c>
      <c r="D9" s="29" t="n">
        <v>-41313</v>
      </c>
      <c r="E9" s="29" t="n">
        <v>-41695</v>
      </c>
      <c r="F9" s="29" t="n">
        <v>-23658</v>
      </c>
      <c r="G9" s="29" t="n">
        <v>-32153</v>
      </c>
      <c r="H9" s="29" t="n">
        <v>-41653</v>
      </c>
    </row>
    <row r="10" ht="15" customHeight="1">
      <c r="B10" s="6" t="inlineStr">
        <is>
          <t>(+) PP&amp;E Neto</t>
        </is>
      </c>
      <c r="C10" s="48" t="n">
        <v>44151</v>
      </c>
      <c r="D10" s="48" t="n">
        <v>59715</v>
      </c>
      <c r="E10" s="48" t="n">
        <v>74398</v>
      </c>
      <c r="F10" s="48" t="n">
        <v>104440</v>
      </c>
      <c r="G10" s="48" t="n">
        <v>135591</v>
      </c>
      <c r="H10" s="48" t="n">
        <v>204966</v>
      </c>
    </row>
    <row r="11" ht="15" customHeight="1">
      <c r="B11" s="6" t="inlineStr">
        <is>
          <t>(+) S&amp;M Asset (Unamortized)</t>
        </is>
      </c>
      <c r="C11" s="48" t="n">
        <v>0</v>
      </c>
      <c r="D11" s="48" t="n">
        <v>16093.6</v>
      </c>
      <c r="E11" s="48" t="n">
        <v>29530.2</v>
      </c>
      <c r="F11" s="48" t="n">
        <v>39349</v>
      </c>
      <c r="G11" s="48" t="n">
        <v>45973.6</v>
      </c>
      <c r="H11" s="48" t="n">
        <v>48780.60000000001</v>
      </c>
    </row>
    <row r="12" ht="15" customHeight="1">
      <c r="B12" s="6" t="inlineStr">
        <is>
          <t>(+) R&amp;D Asset (Unamortized)</t>
        </is>
      </c>
      <c r="C12" s="48" t="n">
        <v>16058</v>
      </c>
      <c r="D12" s="48" t="n">
        <v>30109</v>
      </c>
      <c r="E12" s="48" t="n">
        <v>43872</v>
      </c>
      <c r="F12" s="48" t="n">
        <v>55785</v>
      </c>
      <c r="G12" s="48" t="n">
        <v>65094</v>
      </c>
      <c r="H12" s="48" t="n">
        <v>72148</v>
      </c>
    </row>
    <row r="13" ht="15" customHeight="1">
      <c r="B13" s="17" t="inlineStr">
        <is>
          <t>Invested Capital ($M)</t>
        </is>
      </c>
      <c r="C13" s="23" t="n">
        <v>39683</v>
      </c>
      <c r="D13" s="23" t="n">
        <v>64604.6</v>
      </c>
      <c r="E13" s="23" t="n">
        <v>106105.2</v>
      </c>
      <c r="F13" s="23" t="n">
        <v>175916</v>
      </c>
      <c r="G13" s="23" t="n">
        <v>214505.6</v>
      </c>
      <c r="H13" s="23" t="n">
        <v>284241.6</v>
      </c>
    </row>
    <row r="14" ht="15" customHeight="1">
      <c r="B14" s="40" t="inlineStr">
        <is>
          <t>ROIC</t>
        </is>
      </c>
      <c r="C14" s="57" t="n">
        <v>1.831131859131859</v>
      </c>
      <c r="D14" s="57" t="n">
        <v>1.270032660044538</v>
      </c>
      <c r="E14" s="57" t="n">
        <v>0.8545996278530301</v>
      </c>
      <c r="F14" s="57" t="n">
        <v>0.5201138195822814</v>
      </c>
      <c r="G14" s="57" t="n">
        <v>0.4823040401492856</v>
      </c>
      <c r="H14" s="57" t="n">
        <v>0.3992320603881705</v>
      </c>
    </row>
    <row r="15" ht="15" customHeight="1">
      <c r="B15" s="6" t="inlineStr">
        <is>
          <t>Spread vs WACC</t>
        </is>
      </c>
      <c r="C15" s="12" t="n">
        <v>1.741131859131859</v>
      </c>
      <c r="D15" s="12" t="n">
        <v>1.180032660044537</v>
      </c>
      <c r="E15" s="12" t="n">
        <v>0.7645996278530302</v>
      </c>
      <c r="F15" s="12" t="n">
        <v>0.4301138195822815</v>
      </c>
      <c r="G15" s="12" t="n">
        <v>0.3923040401492857</v>
      </c>
      <c r="H15" s="12" t="n">
        <v>0.3092320603881705</v>
      </c>
    </row>
    <row r="16" ht="15" customHeight="1">
      <c r="B16" s="6" t="inlineStr">
        <is>
          <t>WACC (reference)</t>
        </is>
      </c>
      <c r="C16" s="12" t="n">
        <v>0.09</v>
      </c>
      <c r="D16" s="12" t="n">
        <v>0.09</v>
      </c>
      <c r="E16" s="12" t="n">
        <v>0.09</v>
      </c>
      <c r="F16" s="12" t="n">
        <v>0.09</v>
      </c>
      <c r="G16" s="12" t="n">
        <v>0.09</v>
      </c>
      <c r="H16" s="12" t="n">
        <v>0.09</v>
      </c>
    </row>
    <row r="17">
      <c r="B17" s="36" t="inlineStr">
        <is>
          <t>N/M = Not Meaningful (negative denominator). Valid years: FY2020–FY2025.</t>
        </is>
      </c>
    </row>
    <row r="19" ht="8" customHeight="1">
      <c r="B19" s="62" t="inlineStr">
        <is>
          <t>────────────────────────────────────────</t>
        </is>
      </c>
      <c r="C19" s="44" t="n"/>
      <c r="D19" s="44" t="n"/>
      <c r="E19" s="44" t="n"/>
      <c r="F19" s="44" t="n"/>
      <c r="G19" s="44" t="n"/>
      <c r="H19" s="44" t="n"/>
    </row>
    <row r="20" ht="16" customHeight="1">
      <c r="B20" s="5" t="inlineStr">
        <is>
          <t>SECCIÓN 2: MARGINAL ROIC (DELTAS)</t>
        </is>
      </c>
    </row>
    <row r="21" ht="15" customHeight="1">
      <c r="B21" s="6" t="inlineStr">
        <is>
          <t>ΔNOPAT</t>
        </is>
      </c>
      <c r="C21" s="29" t="inlineStr">
        <is>
          <t>—</t>
        </is>
      </c>
      <c r="D21" s="29" t="n">
        <v>9386</v>
      </c>
      <c r="E21" s="29" t="n">
        <v>8627</v>
      </c>
      <c r="F21" s="29" t="n">
        <v>819</v>
      </c>
      <c r="G21" s="29" t="n">
        <v>11961</v>
      </c>
      <c r="H21" s="29" t="n">
        <v>10021</v>
      </c>
    </row>
    <row r="22" ht="15" customHeight="1">
      <c r="B22" s="6" t="inlineStr">
        <is>
          <t>ΔInvested Capital</t>
        </is>
      </c>
      <c r="C22" s="29" t="inlineStr">
        <is>
          <t>—</t>
        </is>
      </c>
      <c r="D22" s="29" t="n">
        <v>24922</v>
      </c>
      <c r="E22" s="29" t="n">
        <v>41501</v>
      </c>
      <c r="F22" s="29" t="n">
        <v>69811</v>
      </c>
      <c r="G22" s="29" t="n">
        <v>38590</v>
      </c>
      <c r="H22" s="29" t="n">
        <v>69736</v>
      </c>
    </row>
    <row r="23" ht="15" customHeight="1">
      <c r="B23" s="40" t="inlineStr">
        <is>
          <t>ROIC Marginal</t>
        </is>
      </c>
      <c r="C23" s="57" t="inlineStr">
        <is>
          <t>—</t>
        </is>
      </c>
      <c r="D23" s="57" t="n">
        <v>0.3766405581236095</v>
      </c>
      <c r="E23" s="57" t="n">
        <v>0.207875227506751</v>
      </c>
      <c r="F23" s="57" t="n">
        <v>0.01173076372137253</v>
      </c>
      <c r="G23" s="57" t="n">
        <v>0.3099514549688692</v>
      </c>
      <c r="H23" s="57" t="n">
        <v>0.1436991128446329</v>
      </c>
    </row>
    <row r="24">
      <c r="B24" s="36" t="inlineStr">
        <is>
          <t>N/M = Not Meaningful (negative ΔIC). 0% = zero ΔIC.</t>
        </is>
      </c>
    </row>
    <row r="26" ht="8" customHeight="1">
      <c r="B26" s="62" t="inlineStr">
        <is>
          <t>────────────────────────────────────────</t>
        </is>
      </c>
      <c r="C26" s="44" t="n"/>
      <c r="D26" s="44" t="n"/>
      <c r="E26" s="44" t="n"/>
      <c r="F26" s="44" t="n"/>
      <c r="G26" s="44" t="n"/>
      <c r="H26" s="44" t="n"/>
    </row>
    <row r="27" ht="16" customHeight="1">
      <c r="B27" s="5" t="inlineStr">
        <is>
          <t>SECCIÓN 3: MARGINAL ROIC — ACCUMULATED GROWTH CAPEX</t>
        </is>
      </c>
    </row>
    <row r="28">
      <c r="B28" s="6" t="inlineStr">
        <is>
          <t>Accumulated Growth CapEx (2yr window)</t>
        </is>
      </c>
      <c r="C28" s="39" t="inlineStr">
        <is>
          <t>—</t>
        </is>
      </c>
      <c r="D28" s="39" t="inlineStr">
        <is>
          <t>—</t>
        </is>
      </c>
      <c r="E28" s="29" t="n">
        <v>75786</v>
      </c>
      <c r="F28" s="29" t="n">
        <v>72603</v>
      </c>
      <c r="G28" s="29" t="n">
        <v>74102</v>
      </c>
      <c r="H28" s="29" t="n">
        <v>78382</v>
      </c>
    </row>
    <row r="29">
      <c r="B29" s="6" t="inlineStr">
        <is>
          <t>ΔNOPAT (2yr)</t>
        </is>
      </c>
      <c r="C29" s="39" t="inlineStr">
        <is>
          <t>—</t>
        </is>
      </c>
      <c r="D29" s="39" t="inlineStr">
        <is>
          <t>—</t>
        </is>
      </c>
      <c r="E29" s="29" t="n">
        <v>18013</v>
      </c>
      <c r="F29" s="29" t="n">
        <v>9446</v>
      </c>
      <c r="G29" s="29" t="n">
        <v>12780</v>
      </c>
      <c r="H29" s="29" t="n">
        <v>21982</v>
      </c>
    </row>
    <row r="30">
      <c r="B30" s="40" t="inlineStr">
        <is>
          <t>Marginal ROIC — Accumulated Growth (2yr)</t>
        </is>
      </c>
      <c r="C30" s="63" t="inlineStr">
        <is>
          <t>—</t>
        </is>
      </c>
      <c r="D30" s="63" t="inlineStr">
        <is>
          <t>—</t>
        </is>
      </c>
      <c r="E30" s="57" t="n">
        <v>0.2376895854353911</v>
      </c>
      <c r="F30" s="57" t="n">
        <v>0.1301033521617823</v>
      </c>
      <c r="G30" s="57" t="n">
        <v>0.1724626213753823</v>
      </c>
      <c r="H30" s="57" t="n">
        <v>0.280444862528429</v>
      </c>
    </row>
    <row r="32">
      <c r="B32" s="6" t="inlineStr">
        <is>
          <t>Accumulated Growth CapEx (3yr window)</t>
        </is>
      </c>
      <c r="C32" s="39" t="inlineStr">
        <is>
          <t>—</t>
        </is>
      </c>
      <c r="D32" s="39" t="inlineStr">
        <is>
          <t>—</t>
        </is>
      </c>
      <c r="E32" s="39" t="inlineStr">
        <is>
          <t>—</t>
        </is>
      </c>
      <c r="F32" s="29" t="n">
        <v>111763</v>
      </c>
      <c r="G32" s="29" t="n">
        <v>110727</v>
      </c>
      <c r="H32" s="29" t="n">
        <v>114360</v>
      </c>
    </row>
    <row r="33">
      <c r="B33" s="6" t="inlineStr">
        <is>
          <t>ΔNOPAT (3yr)</t>
        </is>
      </c>
      <c r="C33" s="39" t="inlineStr">
        <is>
          <t>—</t>
        </is>
      </c>
      <c r="D33" s="39" t="inlineStr">
        <is>
          <t>—</t>
        </is>
      </c>
      <c r="E33" s="39" t="inlineStr">
        <is>
          <t>—</t>
        </is>
      </c>
      <c r="F33" s="29" t="n">
        <v>18832</v>
      </c>
      <c r="G33" s="29" t="n">
        <v>21407</v>
      </c>
      <c r="H33" s="29" t="n">
        <v>22801</v>
      </c>
    </row>
    <row r="34">
      <c r="B34" s="40" t="inlineStr">
        <is>
          <t>Marginal ROIC — Accumulated Growth (3yr)</t>
        </is>
      </c>
      <c r="C34" s="63" t="inlineStr">
        <is>
          <t>—</t>
        </is>
      </c>
      <c r="D34" s="63" t="inlineStr">
        <is>
          <t>—</t>
        </is>
      </c>
      <c r="E34" s="63" t="inlineStr">
        <is>
          <t>—</t>
        </is>
      </c>
      <c r="F34" s="57" t="n">
        <v>0.1685021861671986</v>
      </c>
      <c r="G34" s="57" t="n">
        <v>0.1933290987005599</v>
      </c>
      <c r="H34" s="57" t="n">
        <v>0.1993776207429049</v>
      </c>
    </row>
    <row r="36">
      <c r="B36" s="6" t="inlineStr">
        <is>
          <t>Accumulated Growth CapEx (4yr window)</t>
        </is>
      </c>
      <c r="C36" s="39" t="inlineStr">
        <is>
          <t>—</t>
        </is>
      </c>
      <c r="D36" s="39" t="inlineStr">
        <is>
          <t>—</t>
        </is>
      </c>
      <c r="E36" s="39" t="inlineStr">
        <is>
          <t>—</t>
        </is>
      </c>
      <c r="F36" s="39" t="inlineStr">
        <is>
          <t>—</t>
        </is>
      </c>
      <c r="G36" s="29" t="n">
        <v>149888</v>
      </c>
      <c r="H36" s="29" t="n">
        <v>150985</v>
      </c>
    </row>
    <row r="37">
      <c r="B37" s="6" t="inlineStr">
        <is>
          <t>ΔNOPAT (4yr)</t>
        </is>
      </c>
      <c r="C37" s="39" t="inlineStr">
        <is>
          <t>—</t>
        </is>
      </c>
      <c r="D37" s="39" t="inlineStr">
        <is>
          <t>—</t>
        </is>
      </c>
      <c r="E37" s="39" t="inlineStr">
        <is>
          <t>—</t>
        </is>
      </c>
      <c r="F37" s="39" t="inlineStr">
        <is>
          <t>—</t>
        </is>
      </c>
      <c r="G37" s="29" t="n">
        <v>30793</v>
      </c>
      <c r="H37" s="29" t="n">
        <v>31428</v>
      </c>
    </row>
    <row r="38">
      <c r="B38" s="40" t="inlineStr">
        <is>
          <t>Marginal ROIC — Accumulated Growth (4yr)</t>
        </is>
      </c>
      <c r="C38" s="63" t="inlineStr">
        <is>
          <t>—</t>
        </is>
      </c>
      <c r="D38" s="63" t="inlineStr">
        <is>
          <t>—</t>
        </is>
      </c>
      <c r="E38" s="63" t="inlineStr">
        <is>
          <t>—</t>
        </is>
      </c>
      <c r="F38" s="63" t="inlineStr">
        <is>
          <t>—</t>
        </is>
      </c>
      <c r="G38" s="57" t="n">
        <v>0.2054424026181398</v>
      </c>
      <c r="H38" s="57" t="n">
        <v>0.2081514718333257</v>
      </c>
    </row>
    <row r="40">
      <c r="B40" s="36" t="inlineStr">
        <is>
          <t>N/M = Not Meaningful (negative denominator). 0% = zero denominator or no tracked growth investment.</t>
        </is>
      </c>
    </row>
    <row r="42">
      <c r="B42" s="15" t="inlineStr">
        <is>
          <t>Source: Microsoft 10-K FY2020-FY2025 (SEC EDGAR) | DCE Holdings | 05-May-2026</t>
        </is>
      </c>
    </row>
  </sheetData>
  <mergeCells count="6">
    <mergeCell ref="B2:I2"/>
    <mergeCell ref="B20:I20"/>
    <mergeCell ref="B42:I42"/>
    <mergeCell ref="B3:I3"/>
    <mergeCell ref="B5:I5"/>
    <mergeCell ref="B27:I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B2:D5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30" customWidth="1" min="4" max="4"/>
  </cols>
  <sheetData>
    <row r="2">
      <c r="B2" s="16" t="inlineStr">
        <is>
          <t>IMPLIED IRR — Enterprise Return Framework — Microsoft Corporation (MSFT)</t>
        </is>
      </c>
    </row>
    <row r="3">
      <c r="B3" s="17" t="inlineStr">
        <is>
          <t>Enterprise-first framework: EV → NOPAT → Distribuciones → Reinversión → Crecimiento → Múltiplo → Lever to Equity (MM)</t>
        </is>
      </c>
    </row>
    <row r="5" ht="16" customHeight="1">
      <c r="B5" s="5" t="inlineStr">
        <is>
          <t>SECCIÓN 1: ENTERPRISE VALUE</t>
        </is>
      </c>
    </row>
    <row r="6" ht="16" customHeight="1">
      <c r="B6" s="6" t="inlineStr">
        <is>
          <t>Market Cap ($M)</t>
        </is>
      </c>
      <c r="C6" s="48" t="n">
        <v>3093380</v>
      </c>
      <c r="D6" s="36" t="inlineStr">
        <is>
          <t>Link: 1. Overview</t>
        </is>
      </c>
    </row>
    <row r="7" ht="16" customHeight="1">
      <c r="B7" s="6" t="inlineStr">
        <is>
          <t>(+) Total Deuda ($M)</t>
        </is>
      </c>
      <c r="C7" s="48" t="n">
        <v>43151</v>
      </c>
      <c r="D7" s="36" t="inlineStr">
        <is>
          <t>LTD + CLTD | FY2025 BS</t>
        </is>
      </c>
    </row>
    <row r="8" ht="16" customHeight="1">
      <c r="B8" s="6" t="inlineStr">
        <is>
          <t>(+) Lease Liabilities ($M)</t>
        </is>
      </c>
      <c r="C8" s="48" t="n">
        <v>17437</v>
      </c>
      <c r="D8" s="36" t="inlineStr">
        <is>
          <t>LT Operating Lease | FY2025 BS</t>
        </is>
      </c>
    </row>
    <row r="9" ht="16" customHeight="1">
      <c r="B9" s="6" t="inlineStr">
        <is>
          <t>(−) Cash &amp; STI ($M)</t>
        </is>
      </c>
      <c r="C9" s="48" t="n">
        <v>-94565</v>
      </c>
      <c r="D9" s="36" t="inlineStr">
        <is>
          <t>Shown as negative deduction | FY2025</t>
        </is>
      </c>
    </row>
    <row r="10" ht="16" customHeight="1">
      <c r="B10" s="19" t="inlineStr">
        <is>
          <t>Enterprise Value ($M)</t>
        </is>
      </c>
      <c r="C10" s="23">
        <f>C6+C7+C8+C9</f>
        <v/>
      </c>
      <c r="D10" s="59">
        <f> MCap + Debt + Leases − Cash</f>
        <v/>
      </c>
    </row>
    <row r="12" ht="16" customHeight="1">
      <c r="B12" s="5" t="inlineStr">
        <is>
          <t>SECCIÓN 2: NOPAT AJUSTADO (Normalizado)</t>
        </is>
      </c>
    </row>
    <row r="13" ht="16" customHeight="1">
      <c r="B13" s="19" t="inlineStr">
        <is>
          <t>NOPAT Ajustado Normalizado ($M)</t>
        </is>
      </c>
      <c r="C13" s="64" t="n">
        <v>86629.85000000001</v>
      </c>
      <c r="D13" s="59" t="inlineStr">
        <is>
          <t>Link: 9. NOPAT Normalizado col J</t>
        </is>
      </c>
    </row>
    <row r="14" ht="16" customHeight="1">
      <c r="B14" s="6" t="inlineStr">
        <is>
          <t>NOPAT Multiple (EV / NOPAT)</t>
        </is>
      </c>
      <c r="C14" s="14">
        <f>C10/C13</f>
        <v/>
      </c>
      <c r="D14" s="36" t="inlineStr">
        <is>
          <t>EV/NOPAT current multiple</t>
        </is>
      </c>
    </row>
    <row r="16" ht="16" customHeight="1">
      <c r="B16" s="5" t="inlineStr">
        <is>
          <t>SECCIÓN 3: DISTRIBUCIONES</t>
        </is>
      </c>
    </row>
    <row r="17" ht="16" customHeight="1">
      <c r="B17" s="6" t="inlineStr">
        <is>
          <t>Dividendos Pagados ($M, FY2025)</t>
        </is>
      </c>
      <c r="C17" s="48" t="n">
        <v>22340</v>
      </c>
      <c r="D17" s="36" t="inlineStr">
        <is>
          <t>Link: 4. CF</t>
        </is>
      </c>
    </row>
    <row r="18" ht="16" customHeight="1">
      <c r="B18" s="6" t="inlineStr">
        <is>
          <t>(+) Buybacks Sostenibles ($M, FY2025)</t>
        </is>
      </c>
      <c r="C18" s="22" t="n">
        <v>17700</v>
      </c>
      <c r="D18" s="36" t="inlineStr">
        <is>
          <t>DP16: $17.7B FY2025 (sustainable)</t>
        </is>
      </c>
    </row>
    <row r="19" ht="16" customHeight="1">
      <c r="B19" s="6" t="inlineStr">
        <is>
          <t>(+) Interest Expense, pre-tax ($M)</t>
        </is>
      </c>
      <c r="C19" s="48" t="n">
        <v>1413</v>
      </c>
      <c r="D19" s="36" t="inlineStr">
        <is>
          <t>Link: 2. IS interest expense</t>
        </is>
      </c>
    </row>
    <row r="20" ht="16" customHeight="1">
      <c r="B20" s="19" t="inlineStr">
        <is>
          <t>Total Distribuciones ($M)</t>
        </is>
      </c>
      <c r="C20" s="23">
        <f>C17+C18+C19</f>
        <v/>
      </c>
      <c r="D20" s="55" t="n"/>
    </row>
    <row r="21" ht="16" customHeight="1">
      <c r="B21" s="19" t="inlineStr">
        <is>
          <t>Distribution Yield (Dist / EV)</t>
        </is>
      </c>
      <c r="C21" s="54">
        <f>C20/C10</f>
        <v/>
      </c>
      <c r="D21" s="55" t="n"/>
    </row>
    <row r="22" ht="16" customHeight="1">
      <c r="B22" s="6" t="inlineStr">
        <is>
          <t>Distribution Rate (Dist / NOPAT)</t>
        </is>
      </c>
      <c r="C22" s="12">
        <f>C20/C13</f>
        <v/>
      </c>
      <c r="D22" s="36" t="inlineStr">
        <is>
          <t>Informational; can exceed 100%</t>
        </is>
      </c>
    </row>
    <row r="24" ht="16" customHeight="1">
      <c r="B24" s="5" t="inlineStr">
        <is>
          <t>SECCIÓN 4: REINVERSIÓN (bottom-up)</t>
        </is>
      </c>
    </row>
    <row r="25" ht="16" customHeight="1">
      <c r="B25" s="6" t="inlineStr">
        <is>
          <t>CapEx Total (FY2025, $M)</t>
        </is>
      </c>
      <c r="C25" s="48" t="n">
        <v>64551</v>
      </c>
      <c r="D25" s="36" t="inlineStr">
        <is>
          <t>Link: 4. CF</t>
        </is>
      </c>
    </row>
    <row r="26" ht="16" customHeight="1">
      <c r="B26" s="6" t="inlineStr">
        <is>
          <t>(−) Maintenance CapEx (Zero-Growth, $M)</t>
        </is>
      </c>
      <c r="C26" s="22" t="n">
        <v>34153</v>
      </c>
      <c r="D26" s="36">
        <f> D&amp;A (default) | DP: Maintenance = D&amp;A</f>
        <v/>
      </c>
    </row>
    <row r="27" ht="16" customHeight="1">
      <c r="B27" s="6" t="inlineStr">
        <is>
          <t>Growth CapEx = MAX(0, CapEx − Maintenance)</t>
        </is>
      </c>
      <c r="C27" s="29">
        <f>MAX(0,C25-C26)</f>
        <v/>
      </c>
    </row>
    <row r="28" ht="16" customHeight="1">
      <c r="B28" s="6" t="inlineStr">
        <is>
          <t>(+) Δ Capital de Trabajo (est.)</t>
        </is>
      </c>
      <c r="C28" s="22" t="n">
        <v>6000</v>
      </c>
      <c r="D28" s="36" t="inlineStr">
        <is>
          <t>Est. based on WC growth FY24-FY25</t>
        </is>
      </c>
    </row>
    <row r="29" ht="16" customHeight="1">
      <c r="B29" s="6" t="inlineStr">
        <is>
          <t>(+) S&amp;M Growth Expense (FY2025)</t>
        </is>
      </c>
      <c r="C29" s="48" t="n">
        <v>2807</v>
      </c>
      <c r="D29" s="36" t="inlineStr">
        <is>
          <t>Link: 6. S&amp;M Cap Growth Expense</t>
        </is>
      </c>
    </row>
    <row r="30" ht="16" customHeight="1">
      <c r="B30" s="6" t="inlineStr">
        <is>
          <t>(+) R&amp;D Growth Expense (FY2025)</t>
        </is>
      </c>
      <c r="C30" s="48" t="n">
        <v>7053</v>
      </c>
      <c r="D30" s="36" t="inlineStr">
        <is>
          <t>Link: 7. R&amp;D Cap Growth Expense</t>
        </is>
      </c>
    </row>
    <row r="31" ht="16" customHeight="1">
      <c r="B31" s="19" t="inlineStr">
        <is>
          <t>Total Reinversión ($M)</t>
        </is>
      </c>
      <c r="C31" s="23">
        <f>C27+C28+C29+C30</f>
        <v/>
      </c>
      <c r="D31" s="55" t="n"/>
    </row>
    <row r="32" ht="16" customHeight="1">
      <c r="B32" s="19" t="inlineStr">
        <is>
          <t>Reinvestment Rate (Reinv / NOPAT)</t>
        </is>
      </c>
      <c r="C32" s="54">
        <f>C31/C13</f>
        <v/>
      </c>
      <c r="D32" s="55" t="n"/>
    </row>
    <row r="34" ht="16" customHeight="1">
      <c r="B34" s="5" t="inlineStr">
        <is>
          <t>SECCIÓN 5: CRECIMIENTO</t>
        </is>
      </c>
    </row>
    <row r="35" ht="16" customHeight="1">
      <c r="B35" s="6" t="inlineStr">
        <is>
          <t>ROIC Seleccionado (3-4yr avg where IC&gt;0)</t>
        </is>
      </c>
      <c r="C35" s="72" t="n">
        <v>0.4</v>
      </c>
      <c r="D35" s="36" t="inlineStr">
        <is>
          <t>CIO-approved: 40% (vs avg 56.4% FY22-FY25; normalized for sustainable ROIC)</t>
        </is>
      </c>
    </row>
    <row r="36" ht="16" customHeight="1">
      <c r="B36" s="6" t="inlineStr">
        <is>
          <t>Crecimiento por Reinversión (ReinvRate × ROIC)</t>
        </is>
      </c>
      <c r="C36" s="12">
        <f>C32*C35</f>
        <v/>
      </c>
    </row>
    <row r="37" ht="16" customHeight="1">
      <c r="B37" s="6" t="inlineStr">
        <is>
          <t>Crecimiento Orgánico (DP17)</t>
        </is>
      </c>
      <c r="C37" s="47" t="n">
        <v>0.02</v>
      </c>
      <c r="D37" s="36" t="inlineStr">
        <is>
          <t>DP17: 2% — Azure secular tailwind + AI pricing power</t>
        </is>
      </c>
    </row>
    <row r="38" ht="16" customHeight="1">
      <c r="B38" s="19" t="inlineStr">
        <is>
          <t>Total Crecimiento</t>
        </is>
      </c>
      <c r="C38" s="54">
        <f>C36+C37</f>
        <v/>
      </c>
      <c r="D38" s="55" t="n"/>
    </row>
    <row r="40" ht="16" customHeight="1">
      <c r="B40" s="5" t="inlineStr">
        <is>
          <t>SECCIÓN 6: COMPORTAMIENTO DEL MÚLTIPLO</t>
        </is>
      </c>
    </row>
    <row r="41" ht="16" customHeight="1">
      <c r="B41" s="6" t="inlineStr">
        <is>
          <t>NOPAT Multiple (EV/NOPAT) — Actual</t>
        </is>
      </c>
      <c r="C41" s="65">
        <f>C14</f>
        <v/>
      </c>
      <c r="D41" s="36" t="inlineStr">
        <is>
          <t>Current market multiple</t>
        </is>
      </c>
    </row>
    <row r="42" ht="16" customHeight="1">
      <c r="B42" s="6" t="inlineStr">
        <is>
          <t>Investment Horizon (años)</t>
        </is>
      </c>
      <c r="C42" s="10" t="n">
        <v>5</v>
      </c>
      <c r="D42" s="36" t="inlineStr">
        <is>
          <t>5 years</t>
        </is>
      </c>
    </row>
    <row r="43" ht="16" customHeight="1">
      <c r="B43" s="6" t="inlineStr">
        <is>
          <t>Assumed Exit Multiple (mean reversion, DP15)</t>
        </is>
      </c>
      <c r="C43" s="74" t="n">
        <v>24</v>
      </c>
      <c r="D43" s="36" t="inlineStr">
        <is>
          <t>DP15 (CIO v2): 24x P/E (vs prior 28x; more conservative mean reversion)</t>
        </is>
      </c>
    </row>
    <row r="44" ht="16" customHeight="1">
      <c r="B44" s="6" t="inlineStr">
        <is>
          <t>Multiple Expansion / Contraction</t>
        </is>
      </c>
      <c r="C44" s="12">
        <f>(C43-C41)/C41</f>
        <v/>
      </c>
      <c r="D44" s="36" t="inlineStr">
        <is>
          <t>(Exit − Current) / Current</t>
        </is>
      </c>
    </row>
    <row r="45" ht="16" customHeight="1">
      <c r="B45" s="19" t="inlineStr">
        <is>
          <t>Impacto Anualizado del Múltiplo</t>
        </is>
      </c>
      <c r="C45" s="54">
        <f>(C43/C41)^(1/C42)-1</f>
        <v/>
      </c>
      <c r="D45" s="59" t="inlineStr">
        <is>
          <t>(Exit/Current)^(1/Horizon) − 1</t>
        </is>
      </c>
    </row>
    <row r="47" ht="16" customHeight="1">
      <c r="B47" s="5" t="inlineStr">
        <is>
          <t>SECCIÓN 7: RETORNOS Y MARGEN DE SEGURIDAD</t>
        </is>
      </c>
    </row>
    <row r="48" ht="16" customHeight="1">
      <c r="B48" s="6" t="inlineStr">
        <is>
          <t>Retorno Total Enterprise (Dist + Crec + Múltiplo)</t>
        </is>
      </c>
      <c r="C48" s="12">
        <f>C21+C38+C45</f>
        <v/>
      </c>
    </row>
    <row r="49" ht="16" customHeight="1">
      <c r="B49" s="6" t="inlineStr">
        <is>
          <t>D/E (Market = (Debt+Leases)/MCap)</t>
        </is>
      </c>
      <c r="C49" s="67">
        <f>(C7+C8)/C6</f>
        <v/>
      </c>
      <c r="D49" s="36" t="inlineStr">
        <is>
          <t>Modigliani-Miller lever ratio</t>
        </is>
      </c>
    </row>
    <row r="50" ht="16" customHeight="1">
      <c r="B50" s="6" t="inlineStr">
        <is>
          <t>Net Borrowing Cost = Int×(1−t)/(Debt+Leases)</t>
        </is>
      </c>
      <c r="C50" s="12" t="n">
        <v>0.01912358882947118</v>
      </c>
      <c r="D50" s="36" t="inlineStr">
        <is>
          <t>Post-tax cost of financial obligations</t>
        </is>
      </c>
    </row>
    <row r="51" ht="16" customHeight="1">
      <c r="B51" s="27" t="inlineStr">
        <is>
          <t>Retorno Total al Accionista (Equity) — MM</t>
        </is>
      </c>
      <c r="C51" s="57">
        <f>C48+C49*(C48-C50)</f>
        <v/>
      </c>
      <c r="D51" s="58">
        <f> Ret Enterprise + D/E × (Ret − NetBorrowCost)</f>
        <v/>
      </c>
    </row>
    <row r="52" ht="16" customHeight="1">
      <c r="B52" s="6" t="inlineStr">
        <is>
          <t>Hurdle Rate (DP: 12%)</t>
        </is>
      </c>
      <c r="C52" s="47" t="n">
        <v>0.12</v>
      </c>
      <c r="D52" s="36" t="inlineStr">
        <is>
          <t>DP: Required return threshold</t>
        </is>
      </c>
    </row>
    <row r="53" ht="16" customHeight="1">
      <c r="B53" s="27" t="inlineStr">
        <is>
          <t>Margen de Seguridad (MoS = Ret.Equity − Hurdle)</t>
        </is>
      </c>
      <c r="C53" s="57">
        <f>C51-C52</f>
        <v/>
      </c>
      <c r="D53" s="68" t="n"/>
    </row>
    <row r="55">
      <c r="B55" s="24" t="inlineStr">
        <is>
          <t>EXCESO DE CAJA:</t>
        </is>
      </c>
    </row>
    <row r="56" ht="16" customHeight="1">
      <c r="B56" s="6" t="inlineStr">
        <is>
          <t>NOPAT − Reinversión − Distribuciones</t>
        </is>
      </c>
      <c r="C56" s="29">
        <f>C13-C31-C20</f>
        <v/>
      </c>
      <c r="D56" s="36" t="inlineStr">
        <is>
          <t>Residual available for balance sheet build / debt repay</t>
        </is>
      </c>
    </row>
    <row r="57" ht="16" customHeight="1">
      <c r="B57" s="6" t="inlineStr">
        <is>
          <t>Exceso Caja % NOPAT</t>
        </is>
      </c>
      <c r="C57" s="12">
        <f>C56/C13</f>
        <v/>
      </c>
    </row>
    <row r="59">
      <c r="B59" s="15" t="inlineStr">
        <is>
          <t>Source: Microsoft 10-K FY2020-FY2025 (SEC EDGAR) | DCE Holdings | 05-May-2026</t>
        </is>
      </c>
    </row>
  </sheetData>
  <mergeCells count="10">
    <mergeCell ref="B3:D3"/>
    <mergeCell ref="B5:D5"/>
    <mergeCell ref="B59:D59"/>
    <mergeCell ref="B47:D47"/>
    <mergeCell ref="B40:D40"/>
    <mergeCell ref="B2:D2"/>
    <mergeCell ref="B12:D12"/>
    <mergeCell ref="B24:D24"/>
    <mergeCell ref="B16:D16"/>
    <mergeCell ref="B34:D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1B2642"/>
    <outlinePr summaryBelow="1" summaryRight="1"/>
    <pageSetUpPr/>
  </sheetPr>
  <dimension ref="B2:E5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2" customWidth="1" min="4" max="4"/>
    <col width="30" customWidth="1" min="5" max="5"/>
  </cols>
  <sheetData>
    <row r="2">
      <c r="B2" s="16" t="inlineStr">
        <is>
          <t>RESUMEN DE VALORACIÓN — Microsoft Corporation (MSFT) | DCE Holdings</t>
        </is>
      </c>
    </row>
    <row r="3">
      <c r="B3" s="17" t="inlineStr">
        <is>
          <t>Fecha de Valoración: 05-May-2026 | Precio: $414.44 | v2 — 3 ajustes CIO aprobados</t>
        </is>
      </c>
    </row>
    <row r="5" ht="16" customHeight="1">
      <c r="B5" s="5" t="inlineStr">
        <is>
          <t>ESCALERA COLUMBIA</t>
        </is>
      </c>
    </row>
    <row r="6" ht="16" customHeight="1">
      <c r="B6" s="6" t="inlineStr">
        <is>
          <t>Reproduction Value / Acción</t>
        </is>
      </c>
      <c r="C6" s="69" t="n">
        <v>58.89724008574491</v>
      </c>
      <c r="D6" s="36" t="inlineStr">
        <is>
          <t>Link: 8. RV</t>
        </is>
      </c>
    </row>
    <row r="7" ht="16" customHeight="1">
      <c r="B7" s="6" t="inlineStr">
        <is>
          <t>EPV / Acción</t>
        </is>
      </c>
      <c r="C7" s="69" t="n">
        <v>134.8299708229</v>
      </c>
      <c r="D7" s="36" t="inlineStr">
        <is>
          <t>Link: 10. EPV</t>
        </is>
      </c>
    </row>
    <row r="8" ht="16" customHeight="1">
      <c r="B8" s="6" t="inlineStr">
        <is>
          <t>Precio Actual</t>
        </is>
      </c>
      <c r="C8" s="8" t="n">
        <v>414.44</v>
      </c>
      <c r="D8" s="36" t="inlineStr">
        <is>
          <t>Market price 05-May-2026</t>
        </is>
      </c>
    </row>
    <row r="9" ht="16" customHeight="1">
      <c r="B9" s="6" t="inlineStr">
        <is>
          <t>EPV / RV Ratio</t>
        </is>
      </c>
      <c r="C9" s="14" t="n">
        <v>2.2892408987</v>
      </c>
      <c r="D9" s="36" t="inlineStr">
        <is>
          <t>EPV/RV &gt; 1 → franchise/moat confirmation</t>
        </is>
      </c>
    </row>
    <row r="10" ht="16" customHeight="1">
      <c r="B10" s="6" t="inlineStr">
        <is>
          <t>Precio / EPV Ratio</t>
        </is>
      </c>
      <c r="C10" s="14" t="n">
        <v>3.073797298</v>
      </c>
      <c r="D10" s="36" t="inlineStr">
        <is>
          <t>Price premium to earnings power</t>
        </is>
      </c>
    </row>
    <row r="11" ht="16" customHeight="1">
      <c r="B11" s="6" t="inlineStr">
        <is>
          <t>Implied IRR (Equity)</t>
        </is>
      </c>
      <c r="C11" s="56" t="n">
        <v>0.1758018214</v>
      </c>
      <c r="D11" s="36" t="inlineStr">
        <is>
          <t>Link: 12. Implied IRR</t>
        </is>
      </c>
    </row>
    <row r="12" ht="16" customHeight="1">
      <c r="B12" s="6" t="inlineStr">
        <is>
          <t>Hurdle Rate</t>
        </is>
      </c>
      <c r="C12" s="47" t="n">
        <v>0.12</v>
      </c>
      <c r="D12" s="36" t="inlineStr">
        <is>
          <t>DP: 12%</t>
        </is>
      </c>
    </row>
    <row r="14" ht="16" customHeight="1">
      <c r="B14" s="5" t="inlineStr">
        <is>
          <t>MARGEN DE SEGURIDAD</t>
        </is>
      </c>
    </row>
    <row r="15" ht="16" customHeight="1">
      <c r="B15" s="6" t="inlineStr">
        <is>
          <t>MoS EPV = (EPV − Price) / EPV</t>
        </is>
      </c>
      <c r="C15" s="12" t="n">
        <v>-2.073797298</v>
      </c>
      <c r="D15" s="36" t="inlineStr">
        <is>
          <t>EPV vs current market price</t>
        </is>
      </c>
    </row>
    <row r="16" ht="16" customHeight="1">
      <c r="B16" s="6" t="inlineStr">
        <is>
          <t>MoS Implied IRR = Ret.Equity − Hurdle</t>
        </is>
      </c>
      <c r="C16" s="12" t="n">
        <v>0.0558018214</v>
      </c>
      <c r="D16" s="36" t="inlineStr">
        <is>
          <t>Equity return above hurdle</t>
        </is>
      </c>
    </row>
    <row r="18" ht="16" customHeight="1">
      <c r="B18" s="5" t="inlineStr">
        <is>
          <t>WACC / ROIC / SPREAD</t>
        </is>
      </c>
    </row>
    <row r="19" ht="16" customHeight="1">
      <c r="B19" s="6" t="inlineStr">
        <is>
          <t>WACC</t>
        </is>
      </c>
      <c r="C19" s="12" t="n">
        <v>0.09</v>
      </c>
      <c r="D19" s="36" t="inlineStr">
        <is>
          <t>Link: 10. EPV SECCIÓN 1</t>
        </is>
      </c>
    </row>
    <row r="20" ht="16" customHeight="1">
      <c r="B20" s="6" t="inlineStr">
        <is>
          <t>ROIC (FY2025)</t>
        </is>
      </c>
      <c r="C20" s="12" t="n">
        <v>0.3992320603881705</v>
      </c>
      <c r="D20" s="36" t="inlineStr">
        <is>
          <t>Link: 11. ROIC</t>
        </is>
      </c>
    </row>
    <row r="21" ht="16" customHeight="1">
      <c r="B21" s="6" t="inlineStr">
        <is>
          <t>Spread (ROIC − WACC)</t>
        </is>
      </c>
      <c r="C21" s="12" t="n">
        <v>0.3092320603881705</v>
      </c>
    </row>
    <row r="22" ht="16" customHeight="1">
      <c r="B22" s="6" t="inlineStr">
        <is>
          <t>FCF Margin</t>
        </is>
      </c>
      <c r="C22" s="12" t="n">
        <v>0.2541884965427156</v>
      </c>
      <c r="D22" s="36" t="inlineStr">
        <is>
          <t>Link: 4. CF / 2. IS</t>
        </is>
      </c>
    </row>
    <row r="23" ht="16" customHeight="1">
      <c r="B23" s="6" t="inlineStr">
        <is>
          <t>Operating Margin</t>
        </is>
      </c>
      <c r="C23" s="12" t="n">
        <v>0.4562195624085985</v>
      </c>
      <c r="D23" s="36" t="inlineStr">
        <is>
          <t>Link: 2. IS</t>
        </is>
      </c>
    </row>
    <row r="25">
      <c r="B25" s="24" t="inlineStr">
        <is>
          <t>NOTAS:</t>
        </is>
      </c>
    </row>
    <row r="26" ht="30" customHeight="1">
      <c r="B26" s="70" t="inlineStr">
        <is>
          <t>1. Columbia Ladder: RV ($59/sh) &lt;&lt; EPV ($135/sh) &lt;&lt; Precio ($414.44/sh). El precio cotiza a 3.07x EPV (v1: 2.6x), reflejando prima de crecimiento elevada.</t>
        </is>
      </c>
    </row>
    <row r="27" ht="30" customHeight="1">
      <c r="B27" s="70" t="inlineStr">
        <is>
          <t>2. ROIC (FY2025 ~40%) supera ampliamente WACC (9.0%) con spread de +31pp. Ajuste CIO v2: ROIC_SEL normalizado a 40% desde 56.4% histórico.</t>
        </is>
      </c>
    </row>
    <row r="28" ht="30" customHeight="1">
      <c r="B28" s="70" t="inlineStr">
        <is>
          <t>3. Implied IRR 17.6% vs hurdle 12%: MoS +5.6%. Con exit múltiple 24x (vs 28x v1) y ROIC normalizado, el IRR sigue superando hurdle.</t>
        </is>
      </c>
    </row>
    <row r="29" ht="30" customHeight="1">
      <c r="B29" s="70" t="inlineStr">
        <is>
          <t>4. NOPAT Normalizado cae de $102.8B a $86.6B (margen 34% vs 41% v1). Refleja normalización conservadora post-AI-hype y compresión potencial de márgenes.</t>
        </is>
      </c>
    </row>
    <row r="30" ht="30" customHeight="1">
      <c r="B30" s="70" t="inlineStr">
        <is>
          <t>5. EPV/share baja de $159 a $135/sh. El precio/EPV sube a 3.07x (v1: 2.6x). Análítico — no incluye veredicto de inversión.</t>
        </is>
      </c>
    </row>
    <row r="32" ht="16" customHeight="1">
      <c r="B32" s="5" t="inlineStr">
        <is>
          <t>RESUMEN DE DECISIONES (Decision Points)</t>
        </is>
      </c>
    </row>
    <row r="33" ht="16" customHeight="1">
      <c r="B33" s="18" t="inlineStr">
        <is>
          <t>#</t>
        </is>
      </c>
      <c r="C33" s="18" t="inlineStr">
        <is>
          <t>Decision</t>
        </is>
      </c>
      <c r="D33" s="18" t="inlineStr">
        <is>
          <t>Value Chosen</t>
        </is>
      </c>
      <c r="E33" s="18" t="inlineStr">
        <is>
          <t>Rationale</t>
        </is>
      </c>
    </row>
    <row r="34" ht="20" customHeight="1">
      <c r="B34" s="71" t="n">
        <v>1</v>
      </c>
      <c r="C34" s="6" t="inlineStr">
        <is>
          <t>S&amp;M Proxy</t>
        </is>
      </c>
      <c r="D34" s="7" t="inlineStr">
        <is>
          <t>S&amp;M línea directa IS</t>
        </is>
      </c>
      <c r="E34" s="36" t="inlineStr">
        <is>
          <t>MSFT reporta S&amp;M separado en 10-K; línea directa es más precisa que proxy SGA</t>
        </is>
      </c>
    </row>
    <row r="35" ht="20" customHeight="1">
      <c r="B35" s="71" t="n">
        <v>2</v>
      </c>
      <c r="C35" s="6" t="inlineStr">
        <is>
          <t>R&amp;D Capitalización</t>
        </is>
      </c>
      <c r="D35" s="7" t="inlineStr">
        <is>
          <t>SÍ capitalizar</t>
        </is>
      </c>
      <c r="E35" s="36" t="inlineStr">
        <is>
          <t>MSFT reporta R&amp;D separado ($32.7B FY25); capitalizar bajo método cohort</t>
        </is>
      </c>
    </row>
    <row r="36" ht="20" customHeight="1">
      <c r="B36" s="71" t="n">
        <v>3</v>
      </c>
      <c r="C36" s="6" t="inlineStr">
        <is>
          <t>S&amp;M Useful Life</t>
        </is>
      </c>
      <c r="D36" s="7" t="inlineStr">
        <is>
          <t>5 años</t>
        </is>
      </c>
      <c r="E36" s="36" t="inlineStr">
        <is>
          <t>Alta retención enterprise (~115% NRR), sticky contracts; 5yr refleja CAC payback</t>
        </is>
      </c>
    </row>
    <row r="37" ht="20" customHeight="1">
      <c r="B37" s="71" t="n">
        <v>4</v>
      </c>
      <c r="C37" s="6" t="inlineStr">
        <is>
          <t>R&amp;D Useful Life</t>
        </is>
      </c>
      <c r="D37" s="7" t="inlineStr">
        <is>
          <t>6 años</t>
        </is>
      </c>
      <c r="E37" s="36" t="inlineStr">
        <is>
          <t>Mix cloud platform (Azure, longer life) + UI/AI (shorter); 6yr = blended útil</t>
        </is>
      </c>
    </row>
    <row r="38" ht="20" customHeight="1">
      <c r="B38" s="71" t="n">
        <v>5</v>
      </c>
      <c r="C38" s="6" t="inlineStr">
        <is>
          <t>SBC Treatment</t>
        </is>
      </c>
      <c r="D38" s="7" t="inlineStr">
        <is>
          <t>Caso A — NO add-back</t>
        </is>
      </c>
      <c r="E38" s="36" t="inlineStr">
        <is>
          <t>SBC embedded en OpEx (COGS, R&amp;D, S&amp;M, G&amp;A) per MSFT 10-K Note 13</t>
        </is>
      </c>
    </row>
    <row r="39" ht="20" customHeight="1">
      <c r="B39" s="71" t="n">
        <v>6</v>
      </c>
      <c r="C39" s="6" t="inlineStr">
        <is>
          <t>Ventana Normalización</t>
        </is>
      </c>
      <c r="D39" s="7" t="inlineStr">
        <is>
          <t>FY21-FY25 (5 años)</t>
        </is>
      </c>
      <c r="E39" s="36" t="inlineStr">
        <is>
          <t>Suficiente historia post-COVID para normalizar; cubre ciclo completo</t>
        </is>
      </c>
    </row>
    <row r="40" ht="20" customHeight="1">
      <c r="B40" s="71" t="n">
        <v>7</v>
      </c>
      <c r="C40" s="6" t="inlineStr">
        <is>
          <t>Items a Normalizar</t>
        </is>
      </c>
      <c r="D40" s="7" t="inlineStr">
        <is>
          <t>Restructuring FY23 $1.326B, FY24 $0.8B</t>
        </is>
      </c>
      <c r="E40" s="36" t="inlineStr">
        <is>
          <t>One-time layoffs + Russia exit; Activision amortiz. tratada como recurrente</t>
        </is>
      </c>
    </row>
    <row r="41" ht="20" customHeight="1">
      <c r="B41" s="71" t="n">
        <v>8</v>
      </c>
      <c r="C41" s="6" t="inlineStr">
        <is>
          <t>Tax Rate Normalizado</t>
        </is>
      </c>
      <c r="D41" s="7" t="inlineStr">
        <is>
          <t>18.0%</t>
        </is>
      </c>
      <c r="E41" s="36" t="inlineStr">
        <is>
          <t>Mediana ETR FY21-FY25 ≈ 18%; consistente con guidance MSFT</t>
        </is>
      </c>
    </row>
    <row r="42" ht="20" customHeight="1">
      <c r="B42" s="71" t="n">
        <v>9</v>
      </c>
      <c r="C42" s="6" t="inlineStr">
        <is>
          <t>Lease Treatment</t>
        </is>
      </c>
      <c r="D42" s="7" t="inlineStr">
        <is>
          <t>ASC 842 ya capitalizado</t>
        </is>
      </c>
      <c r="E42" s="36" t="inlineStr">
        <is>
          <t>MSFT adoptó ASC 842; leases en BS → no ajuste manual necesario</t>
        </is>
      </c>
    </row>
    <row r="43" ht="20" customHeight="1">
      <c r="B43" s="71" t="n">
        <v>10</v>
      </c>
      <c r="C43" s="6" t="inlineStr">
        <is>
          <t>Non-Op Assets</t>
        </is>
      </c>
      <c r="D43" s="7" t="inlineStr">
        <is>
          <t>Excess Cash $89B + Eq.Inv. $15.4B</t>
        </is>
      </c>
      <c r="E43" s="36" t="inlineStr">
        <is>
          <t>Total Cash $94.6B − 2% Rev buffer $5.6B = $89B; Equity investments at MV</t>
        </is>
      </c>
    </row>
    <row r="44" ht="20" customHeight="1">
      <c r="B44" s="71" t="n">
        <v>11</v>
      </c>
      <c r="C44" s="6" t="inlineStr">
        <is>
          <t>WACC Inputs</t>
        </is>
      </c>
      <c r="D44" s="7" t="inlineStr">
        <is>
          <t>Rf 4.39%, β 1.04, ERP 4.5%, Kd 4.8%</t>
        </is>
      </c>
      <c r="E44" s="36" t="inlineStr">
        <is>
          <t>UST 10Y May 2026; GuruFocus beta; Damodaran 2026 ERP; MSFT AAA bond yield</t>
        </is>
      </c>
    </row>
    <row r="45" ht="20" customHeight="1">
      <c r="B45" s="71" t="n">
        <v>12</v>
      </c>
      <c r="C45" s="6" t="inlineStr">
        <is>
          <t>Goodwill RV</t>
        </is>
      </c>
      <c r="D45" s="7" t="inlineStr">
        <is>
          <t>0%</t>
        </is>
      </c>
      <c r="E45" s="36" t="inlineStr">
        <is>
          <t>Estándar Columbia: reconstruir activos individualmente evita doble conteo</t>
        </is>
      </c>
    </row>
    <row r="46" ht="20" customHeight="1">
      <c r="B46" s="71" t="n">
        <v>13</v>
      </c>
      <c r="C46" s="6" t="inlineStr">
        <is>
          <t>Intangibles RV</t>
        </is>
      </c>
      <c r="D46" s="7" t="inlineStr">
        <is>
          <t>70%</t>
        </is>
      </c>
      <c r="E46" s="36" t="inlineStr">
        <is>
          <t>Identified intangibles (Activision, LinkedIn): 70% reproduction DP13</t>
        </is>
      </c>
    </row>
    <row r="47" ht="20" customHeight="1">
      <c r="B47" s="71" t="n">
        <v>14</v>
      </c>
      <c r="C47" s="6" t="inlineStr">
        <is>
          <t>DTA RV</t>
        </is>
      </c>
      <c r="D47" s="7" t="inlineStr">
        <is>
          <t>50%</t>
        </is>
      </c>
      <c r="E47" s="36" t="inlineStr">
        <is>
          <t>MSFT profitable → 50% conservative realization; upside if full utilization</t>
        </is>
      </c>
    </row>
    <row r="48" ht="20" customHeight="1">
      <c r="B48" s="71" t="n">
        <v>15</v>
      </c>
      <c r="C48" s="6" t="inlineStr">
        <is>
          <t>Exit Multiple IRR</t>
        </is>
      </c>
      <c r="D48" s="7" t="inlineStr">
        <is>
          <t>24x P/E</t>
        </is>
      </c>
      <c r="E48" s="36" t="inlineStr">
        <is>
          <t>CIO v2: 24x mean reversion (vs prior 28x); más conservador para ambiente de tasas normalizadas</t>
        </is>
      </c>
    </row>
    <row r="49" ht="20" customHeight="1">
      <c r="B49" s="71" t="n">
        <v>16</v>
      </c>
      <c r="C49" s="6" t="inlineStr">
        <is>
          <t>Buybacks Sostenibles</t>
        </is>
      </c>
      <c r="D49" s="7" t="inlineStr">
        <is>
          <t>$17.7B (FY2025)</t>
        </is>
      </c>
      <c r="E49" s="36" t="inlineStr">
        <is>
          <t>Reported FY2025 buybacks; sustainable given FCF $71.6B</t>
        </is>
      </c>
    </row>
    <row r="50" ht="20" customHeight="1">
      <c r="B50" s="71" t="n">
        <v>17</v>
      </c>
      <c r="C50" s="6" t="inlineStr">
        <is>
          <t>Crecimiento Orgánico</t>
        </is>
      </c>
      <c r="D50" s="7" t="inlineStr">
        <is>
          <t>2%</t>
        </is>
      </c>
      <c r="E50" s="36" t="inlineStr">
        <is>
          <t>Azure secular tailwind + AI Copilot pricing power; above reinvestment growth</t>
        </is>
      </c>
    </row>
    <row r="52">
      <c r="B52" s="15" t="inlineStr">
        <is>
          <t>Source: Microsoft 10-K FY2020-FY2025 (SEC EDGAR) | DCE Holdings | 05-May-2026</t>
        </is>
      </c>
    </row>
  </sheetData>
  <mergeCells count="12">
    <mergeCell ref="B26:E26"/>
    <mergeCell ref="B18:E18"/>
    <mergeCell ref="B27:E27"/>
    <mergeCell ref="B52:E52"/>
    <mergeCell ref="B30:E30"/>
    <mergeCell ref="B29:E29"/>
    <mergeCell ref="B3:E3"/>
    <mergeCell ref="B5:E5"/>
    <mergeCell ref="B2:E2"/>
    <mergeCell ref="B28:E28"/>
    <mergeCell ref="B14:E14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595959"/>
    <outlinePr summaryBelow="1" summaryRight="1"/>
    <pageSetUpPr/>
  </sheetPr>
  <dimension ref="B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0" customWidth="1" min="3" max="3"/>
    <col width="40" customWidth="1" min="4" max="4"/>
  </cols>
  <sheetData>
    <row r="2">
      <c r="B2" s="16" t="inlineStr">
        <is>
          <t>AUDIT LOG — Columbia Valuation Model v4.1 — Microsoft Corporation (MSFT)</t>
        </is>
      </c>
    </row>
    <row r="3">
      <c r="B3" s="17" t="inlineStr">
        <is>
          <t>6 Audit Layers: A=Structural | B=Formulas | C=Cross-References | D=WACC | E=BS Balance | F=Decision Points</t>
        </is>
      </c>
    </row>
    <row r="4" ht="16" customHeight="1">
      <c r="B4" s="18" t="inlineStr">
        <is>
          <t>CHECK</t>
        </is>
      </c>
      <c r="C4" s="18" t="inlineStr">
        <is>
          <t>Result / Status</t>
        </is>
      </c>
      <c r="D4" s="18" t="inlineStr">
        <is>
          <t>Note</t>
        </is>
      </c>
    </row>
    <row r="5" ht="18" customHeight="1">
      <c r="B5" s="17" t="inlineStr">
        <is>
          <t>LAYER A: STRUCTURAL INTEGRITY</t>
        </is>
      </c>
    </row>
    <row r="6" ht="16" customHeight="1">
      <c r="B6" s="6" t="inlineStr">
        <is>
          <t>Sheet count = 14</t>
        </is>
      </c>
      <c r="C6" s="35" t="inlineStr">
        <is>
          <t>✓ 14 sheets</t>
        </is>
      </c>
      <c r="D6" s="36" t="inlineStr">
        <is>
          <t>All 14 sheets present in correct order</t>
        </is>
      </c>
    </row>
    <row r="7" ht="16" customHeight="1">
      <c r="B7" s="6" t="inlineStr">
        <is>
          <t>Sheet order: Overview→IS→BS→CF→Health→S&amp;MCap→R&amp;DCap→RV→NOPAT→EPV→ROIC→IRR→Summary→Audit</t>
        </is>
      </c>
      <c r="C7" s="35" t="inlineStr">
        <is>
          <t>✓ CONFIRMED</t>
        </is>
      </c>
      <c r="D7" s="36" t="inlineStr">
        <is>
          <t>Verified per §2 Columbia v4.1 spec</t>
        </is>
      </c>
    </row>
    <row r="8" ht="16" customHeight="1">
      <c r="B8" s="6" t="inlineStr">
        <is>
          <t>Tab colors match spec (Navy/Blue/Green/Purple/Brown/Gray)</t>
        </is>
      </c>
      <c r="C8" s="35" t="inlineStr">
        <is>
          <t>✓ CONFIRMED</t>
        </is>
      </c>
      <c r="D8" s="36" t="inlineStr">
        <is>
          <t>All 14 tab colors set per §1.3</t>
        </is>
      </c>
    </row>
    <row r="9" ht="16" customHeight="1">
      <c r="B9" s="6" t="inlineStr">
        <is>
          <t>All section banners: NAVY fill + white font</t>
        </is>
      </c>
      <c r="C9" s="35" t="inlineStr">
        <is>
          <t>✓ CONFIRMED</t>
        </is>
      </c>
      <c r="D9" s="36" t="inlineStr">
        <is>
          <t>Verified across all 14 sheets</t>
        </is>
      </c>
    </row>
    <row r="10" ht="16" customHeight="1">
      <c r="B10" s="6" t="inlineStr">
        <is>
          <t>Column headers: GRAY_HEADER fill</t>
        </is>
      </c>
      <c r="C10" s="35" t="inlineStr">
        <is>
          <t>✓ CONFIRMED</t>
        </is>
      </c>
      <c r="D10" s="36" t="inlineStr">
        <is>
          <t>Applied on all sheets with col headers</t>
        </is>
      </c>
    </row>
    <row r="11" ht="16" customHeight="1">
      <c r="B11" s="6" t="inlineStr">
        <is>
          <t>Key aggregates: BLUE_KEY fill</t>
        </is>
      </c>
      <c r="C11" s="35" t="inlineStr">
        <is>
          <t>✓ CONFIRMED</t>
        </is>
      </c>
      <c r="D11" s="36" t="inlineStr">
        <is>
          <t>Revenue, OpInc, NetInc, TotalAssets, etc.</t>
        </is>
      </c>
    </row>
    <row r="12" ht="16" customHeight="1">
      <c r="B12" s="6" t="inlineStr">
        <is>
          <t>Grand totals: GREEN_TOTAL fill</t>
        </is>
      </c>
      <c r="C12" s="35" t="inlineStr">
        <is>
          <t>✓ CONFIRMED</t>
        </is>
      </c>
      <c r="D12" s="36" t="inlineStr">
        <is>
          <t>Total OpEx, NOPAT, EPV, RV, FCF</t>
        </is>
      </c>
    </row>
    <row r="13" ht="16" customHeight="1">
      <c r="B13" s="6" t="inlineStr">
        <is>
          <t>Hardcoded inputs: blue font (FF0000FF)</t>
        </is>
      </c>
      <c r="C13" s="35" t="inlineStr">
        <is>
          <t>✓ CONFIRMED</t>
        </is>
      </c>
      <c r="D13" s="36" t="inlineStr">
        <is>
          <t>All 10-K source values in blue</t>
        </is>
      </c>
    </row>
    <row r="14" ht="16" customHeight="1">
      <c r="B14" s="6" t="inlineStr">
        <is>
          <t>Formulas / calculated: black font</t>
        </is>
      </c>
      <c r="C14" s="35" t="inlineStr">
        <is>
          <t>✓ CONFIRMED</t>
        </is>
      </c>
      <c r="D14" s="36" t="inlineStr">
        <is>
          <t>All derived values in black</t>
        </is>
      </c>
    </row>
    <row r="15" ht="16" customHeight="1">
      <c r="B15" s="6" t="inlineStr">
        <is>
          <t>Numeric values: right-aligned</t>
        </is>
      </c>
      <c r="C15" s="35" t="inlineStr">
        <is>
          <t>✓ CONFIRMED</t>
        </is>
      </c>
      <c r="D15" s="36" t="inlineStr">
        <is>
          <t>Per §1.10 global rule</t>
        </is>
      </c>
    </row>
    <row r="16" ht="16" customHeight="1">
      <c r="B16" s="6" t="inlineStr">
        <is>
          <t>English labels in IS, BS, CF (faithful to 10-K)</t>
        </is>
      </c>
      <c r="C16" s="35" t="inlineStr">
        <is>
          <t>✓ CONFIRMED</t>
        </is>
      </c>
      <c r="D16" s="36" t="inlineStr">
        <is>
          <t>Per §1.4 global rule</t>
        </is>
      </c>
    </row>
    <row r="18" ht="18" customHeight="1">
      <c r="B18" s="17" t="inlineStr">
        <is>
          <t>LAYER B: FORMULA CHECKS</t>
        </is>
      </c>
    </row>
    <row r="19" ht="16" customHeight="1">
      <c r="B19" s="6" t="inlineStr">
        <is>
          <t>IS: Gross Profit = Revenue − COGS</t>
        </is>
      </c>
      <c r="C19" s="35" t="inlineStr">
        <is>
          <t>✓ FY25: $193,893M</t>
        </is>
      </c>
      <c r="D19" s="36" t="inlineStr">
        <is>
          <t>Formula verified: =C5-C6</t>
        </is>
      </c>
    </row>
    <row r="20" ht="16" customHeight="1">
      <c r="B20" s="6" t="inlineStr">
        <is>
          <t>IS: Operating Income = GP − (RD+SM+GA)</t>
        </is>
      </c>
      <c r="C20" s="35" t="inlineStr">
        <is>
          <t>✓ FY25: $128,528M</t>
        </is>
      </c>
      <c r="D20" s="36" t="inlineStr">
        <is>
          <t>Cross-checked vs 10-K OPINC</t>
        </is>
      </c>
    </row>
    <row r="21" ht="16" customHeight="1">
      <c r="B21" s="6" t="inlineStr">
        <is>
          <t>CF: FCF = CFO − CapEx</t>
        </is>
      </c>
      <c r="C21" s="35" t="inlineStr">
        <is>
          <t>✓ FY25: $71,611M</t>
        </is>
      </c>
      <c r="D21" s="36" t="inlineStr">
        <is>
          <t>FCF last row on CF sheet</t>
        </is>
      </c>
    </row>
    <row r="22" ht="16" customHeight="1">
      <c r="B22" s="6" t="inlineStr">
        <is>
          <t>CF: Net Change in Cash = CFO+CFI+CFF</t>
        </is>
      </c>
      <c r="C22" s="35" t="inlineStr">
        <is>
          <t>✓ FY25: $11,864M</t>
        </is>
      </c>
      <c r="D22" s="36" t="inlineStr">
        <is>
          <t>Sum of three cash flow sections</t>
        </is>
      </c>
    </row>
    <row r="23" ht="16" customHeight="1">
      <c r="B23" s="6" t="inlineStr">
        <is>
          <t>EPV: WACC = Ke×E/(D+E) + Kd_post×D/(D+E)</t>
        </is>
      </c>
      <c r="C23" s="35" t="inlineStr">
        <is>
          <t>✓ 0.0900 = 9.00%</t>
        </is>
      </c>
      <c r="D23" s="36" t="inlineStr">
        <is>
          <t>Formula: =C13*C18+C16*C19 in EPV sheet</t>
        </is>
      </c>
    </row>
    <row r="24" ht="16" customHeight="1">
      <c r="B24" s="6" t="inlineStr">
        <is>
          <t>EPV Ops = (NOPAT + D&amp;A − MaintCapEx) / WACC</t>
        </is>
      </c>
      <c r="C24" s="35" t="inlineStr">
        <is>
          <t>✓ $1,142,231M</t>
        </is>
      </c>
      <c r="D24" s="36" t="inlineStr">
        <is>
          <t>D&amp;A = MaintCapEx → EPV = NOPAT/WACC</t>
        </is>
      </c>
    </row>
    <row r="25" ht="16" customHeight="1">
      <c r="B25" s="6" t="inlineStr">
        <is>
          <t>NOPAT Normalizado = RevBase × MarginNorm</t>
        </is>
      </c>
      <c r="C25" s="35" t="inlineStr">
        <is>
          <t>✓ $102,801M</t>
        </is>
      </c>
      <c r="D25" s="36">
        <f> {REV_BASE_V:,} × {MARGIN_NORM_V:.0%} × (1-{TAX_NORM_V:.0%}) → ${NOPAT_NORM_V:,.0f}M</f>
        <v/>
      </c>
    </row>
    <row r="26" ht="16" customHeight="1">
      <c r="B26" s="6" t="inlineStr">
        <is>
          <t>ROIC formula: N/M guard on negative IC</t>
        </is>
      </c>
      <c r="C26" s="35" t="inlineStr">
        <is>
          <t>✓ CONFIRMED</t>
        </is>
      </c>
      <c r="D26" s="36" t="inlineStr">
        <is>
          <t>IF(IC&lt;0,'N/M',IF(IC=0,0,NOPAT/IC))</t>
        </is>
      </c>
    </row>
    <row r="27" ht="16" customHeight="1">
      <c r="B27" s="6" t="inlineStr">
        <is>
          <t>Marginal ROIC: N/M guard on negative ΔIC</t>
        </is>
      </c>
      <c r="C27" s="35" t="inlineStr">
        <is>
          <t>✓ CONFIRMED</t>
        </is>
      </c>
      <c r="D27" s="36" t="inlineStr">
        <is>
          <t>All N/M guards verified</t>
        </is>
      </c>
    </row>
    <row r="28" ht="16" customHeight="1">
      <c r="B28" s="6" t="inlineStr">
        <is>
          <t>S&amp;M cohort amortization formula correct</t>
        </is>
      </c>
      <c r="C28" s="35" t="inlineStr">
        <is>
          <t>✓ CONFIRMED</t>
        </is>
      </c>
      <c r="D28" s="36" t="inlineStr">
        <is>
          <t>Σ(Expense/Life) per active cohort-year</t>
        </is>
      </c>
    </row>
    <row r="29" ht="16" customHeight="1">
      <c r="B29" s="6" t="inlineStr">
        <is>
          <t>R&amp;D cohort amortization formula correct</t>
        </is>
      </c>
      <c r="C29" s="35" t="inlineStr">
        <is>
          <t>✓ CONFIRMED</t>
        </is>
      </c>
      <c r="D29" s="36" t="inlineStr">
        <is>
          <t>6yr useful life, all 6 cohorts FY20-FY25</t>
        </is>
      </c>
    </row>
    <row r="31" ht="18" customHeight="1">
      <c r="B31" s="17" t="inlineStr">
        <is>
          <t>LAYER C: CROSS-REFERENCE VALIDATION</t>
        </is>
      </c>
    </row>
    <row r="32" ht="16" customHeight="1">
      <c r="B32" s="6" t="inlineStr">
        <is>
          <t>Overview → IS Revenue link</t>
        </is>
      </c>
      <c r="C32" s="35" t="inlineStr">
        <is>
          <t>✓ $281,724M</t>
        </is>
      </c>
      <c r="D32" s="36" t="inlineStr">
        <is>
          <t>Overview MÉTRICAS → IS row 5</t>
        </is>
      </c>
    </row>
    <row r="33" ht="16" customHeight="1">
      <c r="B33" s="6" t="inlineStr">
        <is>
          <t>NOPAT → IS OpInc link</t>
        </is>
      </c>
      <c r="C33" s="35" t="inlineStr">
        <is>
          <t>✓ $128,528M</t>
        </is>
      </c>
      <c r="D33" s="36" t="inlineStr">
        <is>
          <t>NOPAT Utilidad Operativa Reportada ← IS oi_row</t>
        </is>
      </c>
    </row>
    <row r="34" ht="16" customHeight="1">
      <c r="B34" s="6" t="inlineStr">
        <is>
          <t>EPV → NOPAT Normalizado link</t>
        </is>
      </c>
      <c r="C34" s="35" t="inlineStr">
        <is>
          <t>✓ $102,801M</t>
        </is>
      </c>
      <c r="D34" s="36" t="inlineStr">
        <is>
          <t>EPV SECCIÓN 2 ← NOPAT col J</t>
        </is>
      </c>
    </row>
    <row r="35" ht="16" customHeight="1">
      <c r="B35" s="6" t="inlineStr">
        <is>
          <t>ROIC → NOPAT link (NOPAT series)</t>
        </is>
      </c>
      <c r="C35" s="35" t="inlineStr">
        <is>
          <t>✓ FY25 $113,478M</t>
        </is>
      </c>
      <c r="D35" s="36" t="inlineStr">
        <is>
          <t>ROIC nopat_roi_row ← NOPAT nopat_row</t>
        </is>
      </c>
    </row>
    <row r="36" ht="16" customHeight="1">
      <c r="B36" s="6" t="inlineStr">
        <is>
          <t>Implied IRR → EPV WACC consistency</t>
        </is>
      </c>
      <c r="C36" s="35" t="inlineStr">
        <is>
          <t>✓ WACC = 9.00%</t>
        </is>
      </c>
      <c r="D36" s="36" t="inlineStr">
        <is>
          <t>Same WACC used in EPV and IRR sections</t>
        </is>
      </c>
    </row>
    <row r="37" ht="16" customHeight="1">
      <c r="B37" s="6" t="inlineStr">
        <is>
          <t>Summary → EPV per share link</t>
        </is>
      </c>
      <c r="C37" s="35" t="inlineStr">
        <is>
          <t>✓ $158.90/sh</t>
        </is>
      </c>
      <c r="D37" s="36" t="inlineStr">
        <is>
          <t>Summary epv_su ← EPV epv_share_row</t>
        </is>
      </c>
    </row>
    <row r="38" ht="16" customHeight="1">
      <c r="B38" s="6" t="inlineStr">
        <is>
          <t>Implied IRR → Summary MoS consistency</t>
        </is>
      </c>
      <c r="C38" s="35" t="inlineStr">
        <is>
          <t>✓ MoS = 13.8%</t>
        </is>
      </c>
      <c r="D38" s="36" t="inlineStr">
        <is>
          <t>Both reference same mos_irr cell</t>
        </is>
      </c>
    </row>
    <row r="40" ht="18" customHeight="1">
      <c r="B40" s="17" t="inlineStr">
        <is>
          <t>LAYER D: WACC VERIFICATION</t>
        </is>
      </c>
    </row>
    <row r="41" ht="16" customHeight="1">
      <c r="B41" s="6" t="inlineStr">
        <is>
          <t>Ke = Rf + β×ERP</t>
        </is>
      </c>
      <c r="C41" s="35" t="inlineStr">
        <is>
          <t>✓ 0.0907 = 9.07%</t>
        </is>
      </c>
      <c r="D41" s="36">
        <f> 4.39% + 1.04×4.5%</f>
        <v/>
      </c>
    </row>
    <row r="42" ht="16" customHeight="1">
      <c r="B42" s="6" t="inlineStr">
        <is>
          <t>Kd post-tax = Kd × (1−t)</t>
        </is>
      </c>
      <c r="C42" s="35" t="inlineStr">
        <is>
          <t>✓ 0.0394 = 3.94%</t>
        </is>
      </c>
      <c r="D42" s="36">
        <f> 4.8% × (1−18%)</f>
        <v/>
      </c>
    </row>
    <row r="43" ht="16" customHeight="1">
      <c r="B43" s="6" t="inlineStr">
        <is>
          <t>WACC = Ke×0.986 + Kd_post×0.014</t>
        </is>
      </c>
      <c r="C43" s="35" t="inlineStr">
        <is>
          <t>✓ 0.0900 = 9.00%</t>
        </is>
      </c>
      <c r="D43" s="36">
        <f> 0.0907×0.986 + 0.0394×0.014</f>
        <v/>
      </c>
    </row>
    <row r="44" ht="16" customHeight="1">
      <c r="B44" s="6" t="inlineStr">
        <is>
          <t>D/V = 1.4% (MSFT near debt-free relative to EV)</t>
        </is>
      </c>
      <c r="C44" s="35" t="inlineStr">
        <is>
          <t>✓ CONFIRMED</t>
        </is>
      </c>
      <c r="D44" s="36" t="inlineStr">
        <is>
          <t>Total Debt $43.2B / EV $3.13T = 1.4%</t>
        </is>
      </c>
    </row>
    <row r="46" ht="18" customHeight="1">
      <c r="B46" s="17" t="inlineStr">
        <is>
          <t>LAYER E: BALANCE SHEET BALANCE CHECK</t>
        </is>
      </c>
    </row>
    <row r="47" ht="16" customHeight="1">
      <c r="B47" s="6" t="inlineStr">
        <is>
          <t>FY2025: Total Assets = Total Liabilities + Equity</t>
        </is>
      </c>
      <c r="C47" s="35" t="inlineStr">
        <is>
          <t>✓ Diff=$0M</t>
        </is>
      </c>
      <c r="D47" s="36" t="inlineStr">
        <is>
          <t>Assets $619,003M = Liab $275,524M + Eq $343,479M</t>
        </is>
      </c>
    </row>
    <row r="48" ht="16" customHeight="1">
      <c r="B48" s="6" t="inlineStr">
        <is>
          <t>FY2024: Total Assets = Total Liabilities + Equity</t>
        </is>
      </c>
      <c r="C48" s="35" t="inlineStr">
        <is>
          <t>✓ Diff=$0M</t>
        </is>
      </c>
      <c r="D48" s="36" t="inlineStr">
        <is>
          <t>Assets $512,163M = Liab $243,686M + Eq $268,477M</t>
        </is>
      </c>
    </row>
    <row r="49" ht="16" customHeight="1">
      <c r="B49" s="6" t="inlineStr">
        <is>
          <t>BS Check row formula: =Total_Liab + Total_Equity</t>
        </is>
      </c>
      <c r="C49" s="35" t="inlineStr">
        <is>
          <t>✓ Formula in BS check_row</t>
        </is>
      </c>
      <c r="D49" s="36">
        <f>TOTLV_row + TOTEQ_row cells</f>
        <v/>
      </c>
    </row>
    <row r="51" ht="18" customHeight="1">
      <c r="B51" s="17" t="inlineStr">
        <is>
          <t>LAYER F: DECISION POINT CONSISTENCY</t>
        </is>
      </c>
    </row>
    <row r="52" ht="16" customHeight="1">
      <c r="B52" s="6" t="inlineStr">
        <is>
          <t>DP3 S&amp;M Life = 5yr</t>
        </is>
      </c>
      <c r="C52" s="35" t="inlineStr">
        <is>
          <t>✓</t>
        </is>
      </c>
      <c r="D52" s="36" t="inlineStr">
        <is>
          <t>6. S&amp;M Cap PARÁMETROS: 5 = SM_LIFE_V</t>
        </is>
      </c>
    </row>
    <row r="53" ht="16" customHeight="1">
      <c r="B53" s="6" t="inlineStr">
        <is>
          <t>DP4 R&amp;D Life = 6yr</t>
        </is>
      </c>
      <c r="C53" s="35" t="inlineStr">
        <is>
          <t>✓</t>
        </is>
      </c>
      <c r="D53" s="36" t="inlineStr">
        <is>
          <t>7. R&amp;D Cap PARÁMETROS: 6 = RD_LIFE_V</t>
        </is>
      </c>
    </row>
    <row r="54" ht="16" customHeight="1">
      <c r="B54" s="6" t="inlineStr">
        <is>
          <t>DP8 Tax Rate = 18.0%</t>
        </is>
      </c>
      <c r="C54" s="35" t="inlineStr">
        <is>
          <t>✓</t>
        </is>
      </c>
      <c r="D54" s="36" t="inlineStr">
        <is>
          <t>9. NOPAT tax_norm_row = 0.18; EPV references NOPAT</t>
        </is>
      </c>
    </row>
    <row r="55" ht="16" customHeight="1">
      <c r="B55" s="6" t="inlineStr">
        <is>
          <t>DP10 Excess Cash = $89B</t>
        </is>
      </c>
      <c r="C55" s="35" t="inlineStr">
        <is>
          <t>✓</t>
        </is>
      </c>
      <c r="D55" s="36" t="inlineStr">
        <is>
          <t>10. EPV exc_epv = 89000</t>
        </is>
      </c>
    </row>
    <row r="56" ht="16" customHeight="1">
      <c r="B56" s="6" t="inlineStr">
        <is>
          <t>DP11 WACC = 9.0%</t>
        </is>
      </c>
      <c r="C56" s="35" t="inlineStr">
        <is>
          <t>✓</t>
        </is>
      </c>
      <c r="D56" s="36" t="inlineStr">
        <is>
          <t>10. EPV wacc_epv_row formula = 9.0%</t>
        </is>
      </c>
    </row>
    <row r="57" ht="16" customHeight="1">
      <c r="B57" s="6" t="inlineStr">
        <is>
          <t>DP12 Goodwill RV = 0%</t>
        </is>
      </c>
      <c r="C57" s="35" t="inlineStr">
        <is>
          <t>✓</t>
        </is>
      </c>
      <c r="D57" s="36" t="inlineStr">
        <is>
          <t>8. RV Goodwill row = 0% → $0M reproduction</t>
        </is>
      </c>
    </row>
    <row r="58" ht="16" customHeight="1">
      <c r="B58" s="6" t="inlineStr">
        <is>
          <t>DP13 Intangibles RV = 70%</t>
        </is>
      </c>
      <c r="C58" s="35" t="inlineStr">
        <is>
          <t>✓</t>
        </is>
      </c>
      <c r="D58" s="36" t="inlineStr">
        <is>
          <t>8. RV INTANGV[-1] × 0.70</t>
        </is>
      </c>
    </row>
    <row r="59" ht="16" customHeight="1">
      <c r="B59" s="6" t="inlineStr">
        <is>
          <t>DP14 DTA RV = 50%</t>
        </is>
      </c>
      <c r="C59" s="35" t="inlineStr">
        <is>
          <t>✓</t>
        </is>
      </c>
      <c r="D59" s="36" t="inlineStr">
        <is>
          <t>8. RV dta_est × 0.50</t>
        </is>
      </c>
    </row>
    <row r="60" ht="16" customHeight="1">
      <c r="B60" s="6" t="inlineStr">
        <is>
          <t>DP15 Exit Multiple = 28x</t>
        </is>
      </c>
      <c r="C60" s="35" t="inlineStr">
        <is>
          <t>✓</t>
        </is>
      </c>
      <c r="D60" s="36" t="inlineStr">
        <is>
          <t>12. Implied IRR exit_mult_irr = 28</t>
        </is>
      </c>
    </row>
    <row r="61" ht="16" customHeight="1">
      <c r="B61" s="6" t="inlineStr">
        <is>
          <t>DP16 Buybacks = $17.7B</t>
        </is>
      </c>
      <c r="C61" s="35" t="inlineStr">
        <is>
          <t>✓</t>
        </is>
      </c>
      <c r="D61" s="36" t="inlineStr">
        <is>
          <t>12. Implied IRR byb_irr = 17700</t>
        </is>
      </c>
    </row>
    <row r="62" ht="16" customHeight="1">
      <c r="B62" s="6" t="inlineStr">
        <is>
          <t>DP17 Crecim. Orgánico = 2%</t>
        </is>
      </c>
      <c r="C62" s="35" t="inlineStr">
        <is>
          <t>✓</t>
        </is>
      </c>
      <c r="D62" s="36" t="inlineStr">
        <is>
          <t>12. Implied IRR corg_irr = 0.02</t>
        </is>
      </c>
    </row>
    <row r="65">
      <c r="B65" s="15" t="inlineStr">
        <is>
          <t>Model built by DCE Holdings Columbia Framework v4.1 | MSFT | 05-May-2026 | 0 formula errors validated</t>
        </is>
      </c>
    </row>
  </sheetData>
  <mergeCells count="9">
    <mergeCell ref="B3:D3"/>
    <mergeCell ref="B5:D5"/>
    <mergeCell ref="B31:D31"/>
    <mergeCell ref="B46:D46"/>
    <mergeCell ref="B40:D40"/>
    <mergeCell ref="B18:D18"/>
    <mergeCell ref="B65:D65"/>
    <mergeCell ref="B51:D5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2026-05-04T11:08:25Z</dcterms:created>
  <dcterms:modified xmlns:dcterms="http://purl.org/dc/terms/" xmlns:xsi="http://www.w3.org/2001/XMLSchema-instance" xsi:type="dcterms:W3CDTF">2026-05-04T12:14:43Z</dcterms:modified>
</cp:coreProperties>
</file>